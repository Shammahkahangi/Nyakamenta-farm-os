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<sst xmlns="http://schemas.openxmlformats.org/spreadsheetml/2006/main" count="65" uniqueCount="18">
  <si>
    <t xml:space="preserve">INVOICE FOR MAINTENANCE FROM 16st  - 31st January 2026 </t>
  </si>
  <si>
    <t>BLOCK A</t>
  </si>
  <si>
    <t>ACTIVITY</t>
  </si>
  <si>
    <t>QUANTITY (ACRES)</t>
  </si>
  <si>
    <t>RATE</t>
  </si>
  <si>
    <t xml:space="preserve">TOTAL </t>
  </si>
  <si>
    <t>COMMENT</t>
  </si>
  <si>
    <t>watering</t>
  </si>
  <si>
    <t>SUB TOTAL</t>
  </si>
  <si>
    <t>BLOCK B</t>
  </si>
  <si>
    <t>Watering</t>
  </si>
  <si>
    <t>BLOCK C</t>
  </si>
  <si>
    <t>BLOCK D</t>
  </si>
  <si>
    <t>BLOCK E</t>
  </si>
  <si>
    <t>BLOCK F</t>
  </si>
  <si>
    <t>BLOCK G</t>
  </si>
  <si>
    <t>Supervisory fee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</si>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</sst>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_);_(* \(#,##0\);_(* &quot;-&quot;??_);_(@_)"/>
  </numFmts>
  <fonts count="9">
    <font>
      <sz val="11.0"/>
      <color/>
      <name val="Arial"/>
      <scheme val="minor"/>
    </font>
    <font>
      <b/>
      <sz val="14.0"/>
      <color/>
      <name val="Bookman Old Style"/>
    </font>
    <font>
      <b/>
      <sz val="16.0"/>
      <color/>
      <name val="Bookman Old Style"/>
    </font>
    <font/>
    <font>
      <b/>
      <sz val="11.0"/>
      <color/>
      <name val="Bookman Old Style"/>
    </font>
    <font>
      <sz val="11.0"/>
      <color/>
      <name val="Bookman Old Style"/>
    </font>
    <font>
      <b/>
      <sz val="11.0"/>
      <color/>
      <name val="Calibri"/>
    </font>
    <font>
      <sz val="11.0"/>
      <color/>
      <name val="Calibri"/>
    </font>
    <font>
      <b/>
      <sz val="12.0"/>
      <color/>
      <name val="Calibri"/>
    </font>
  </fonts>
  <fills count="2">
    <fill>
      <patternFill patternType="none"/>
    </fill>
    <fill>
      <patternFill patternType="lightGray"/>
    </fill>
  </fills>
  <borders count="7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1" fillId="0" fontId="3" numFmtId="0" xfId="0" applyBorder="1" applyFont="1"/>
    <xf borderId="2" fillId="0" fontId="4" numFmtId="0" xfId="0" applyBorder="1" applyFont="1"/>
    <xf borderId="2" fillId="0" fontId="4" numFmtId="0" xfId="0" applyAlignment="1" applyBorder="1" applyFont="1">
      <alignment horizontal="center" shrinkToFit="0" wrapText="1"/>
    </xf>
    <xf borderId="2" fillId="0" fontId="5" numFmtId="0" xfId="0" applyBorder="1" applyFont="1"/>
    <xf borderId="2" fillId="0" fontId="5" numFmtId="0" xfId="0" applyAlignment="1" applyBorder="1" applyFont="1">
      <alignment horizontal="center" shrinkToFit="0" wrapText="1"/>
    </xf>
    <xf borderId="3" fillId="0" fontId="4" numFmtId="0" xfId="0" applyAlignment="1" applyBorder="1" applyFont="1">
      <alignment horizontal="center"/>
    </xf>
    <xf borderId="4" fillId="0" fontId="3" numFmtId="0" xfId="0" applyBorder="1" applyFont="1"/>
    <xf borderId="5" fillId="0" fontId="3" numFmtId="0" xfId="0" applyBorder="1" applyFont="1"/>
    <xf borderId="0" fillId="0" fontId="4" numFmtId="0" xfId="0" applyFont="1"/>
    <xf borderId="0" fillId="0" fontId="6" numFmtId="0" xfId="0" applyFont="1"/>
    <xf borderId="0" fillId="0" fontId="5" numFmtId="0" xfId="0" applyFont="1"/>
    <xf borderId="2" fillId="0" fontId="5" numFmtId="3" xfId="0" applyBorder="1" applyFont="1" applyNumberFormat="1"/>
    <xf borderId="0" fillId="0" fontId="7" numFmtId="0" xfId="0" applyFont="1"/>
    <xf borderId="2" fillId="0" fontId="4" numFmtId="164" xfId="0" applyBorder="1" applyFont="1" applyNumberFormat="1"/>
    <xf borderId="2" fillId="0" fontId="5" numFmtId="164" xfId="0" applyBorder="1" applyFont="1" applyNumberFormat="1"/>
    <xf borderId="0" fillId="0" fontId="4" numFmtId="0" xfId="0" applyAlignment="1" applyFont="1">
      <alignment horizontal="center"/>
    </xf>
    <xf borderId="0" fillId="0" fontId="4" numFmtId="164" xfId="0" applyFont="1" applyNumberFormat="1"/>
    <xf borderId="2" fillId="0" fontId="7" numFmtId="0" xfId="0" applyBorder="1" applyFont="1"/>
    <xf borderId="2" fillId="0" fontId="4" numFmtId="0" xfId="0" applyAlignment="1" applyBorder="1" applyFont="1">
      <alignment horizontal="center"/>
    </xf>
    <xf borderId="6" fillId="0" fontId="2" numFmtId="0" xfId="0" applyAlignment="1" applyBorder="1" applyFont="1">
      <alignment horizontal="center"/>
    </xf>
    <xf borderId="6" fillId="0" fontId="3" numFmtId="0" xfId="0" applyBorder="1" applyFont="1"/>
    <xf borderId="2" fillId="0" fontId="8" numFmtId="0" xfId="0" applyBorder="1" applyFont="1"/>
    <xf borderId="0" fillId="0" fontId="5" numFmtId="164" xfId="0" applyAlignment="1" applyFont="1" applyNumberFormat="1">
      <alignment horizontal="left"/>
    </xf>
    <xf borderId="2" fillId="0" fontId="6" numFmtId="0" xfId="0" applyBorder="1" applyFont="1"/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14"/>
    <col customWidth="1" min="2" max="2" width="15.43"/>
    <col customWidth="1" min="3" max="3" width="10.71"/>
    <col customWidth="1" min="4" max="4" width="16.86"/>
    <col customWidth="1" min="5" max="5" width="18.14"/>
    <col customWidth="1" min="6" max="11" width="8.71"/>
  </cols>
  <sheetData>
    <row r="1">
      <c r="A1" s="1" t="s">
        <v>0</v>
      </c>
    </row>
    <row r="2">
      <c r="A2" s="2"/>
      <c r="B2" s="2"/>
      <c r="C2" s="2"/>
      <c r="D2" s="2"/>
      <c r="E2" s="2"/>
    </row>
    <row r="3">
      <c r="A3" s="3" t="s">
        <v>1</v>
      </c>
      <c r="B3" s="4"/>
      <c r="C3" s="4"/>
      <c r="D3" s="4"/>
      <c r="E3" s="4"/>
    </row>
    <row r="4">
      <c r="A4" s="5" t="s">
        <v>2</v>
      </c>
      <c r="B4" s="6" t="s">
        <v>3</v>
      </c>
      <c r="C4" s="5" t="s">
        <v>4</v>
      </c>
      <c r="D4" s="5" t="s">
        <v>5</v>
      </c>
      <c r="E4" s="5" t="s">
        <v>6</v>
      </c>
    </row>
    <row r="5">
      <c r="A5" s="7" t="s">
        <v>7</v>
      </c>
      <c r="B5" s="8">
        <v>10.68</v>
      </c>
      <c r="C5" s="7">
        <v>25000.0</v>
      </c>
      <c r="D5" s="7" t="str">
        <f t="shared" ref="D5:D6" si="1">C5*B5</f>
        <v>267000</v>
      </c>
      <c r="E5" s="7"/>
    </row>
    <row r="6">
      <c r="A6" s="7" t="s">
        <v>7</v>
      </c>
      <c r="B6" s="8">
        <v>10.68</v>
      </c>
      <c r="C6" s="7">
        <v>25000.0</v>
      </c>
      <c r="D6" s="7" t="str">
        <f t="shared" si="1"/>
        <v>267000</v>
      </c>
      <c r="E6" s="7"/>
    </row>
    <row r="7">
      <c r="A7" s="9" t="s">
        <v>8</v>
      </c>
      <c r="B7" s="10"/>
      <c r="C7" s="11"/>
      <c r="D7" s="5" t="str">
        <f>SUM(D5:D6)</f>
        <v>534000</v>
      </c>
      <c r="E7" s="12"/>
      <c r="F7" s="13"/>
      <c r="G7" s="13"/>
      <c r="H7" s="13"/>
      <c r="I7" s="13"/>
      <c r="J7" s="13"/>
      <c r="K7" s="13"/>
    </row>
    <row r="8">
      <c r="A8" s="14"/>
      <c r="B8" s="14"/>
      <c r="C8" s="14"/>
      <c r="D8" s="14"/>
      <c r="E8" s="14"/>
    </row>
    <row r="9">
      <c r="A9" s="2" t="s">
        <v>9</v>
      </c>
    </row>
    <row r="10">
      <c r="A10" s="5" t="s">
        <v>2</v>
      </c>
      <c r="B10" s="6" t="s">
        <v>3</v>
      </c>
      <c r="C10" s="5" t="s">
        <v>4</v>
      </c>
      <c r="D10" s="5" t="s">
        <v>5</v>
      </c>
      <c r="E10" s="5" t="s">
        <v>6</v>
      </c>
    </row>
    <row r="11">
      <c r="A11" s="7" t="s">
        <v>10</v>
      </c>
      <c r="B11" s="8">
        <v>7.7</v>
      </c>
      <c r="C11" s="7">
        <v>25000.0</v>
      </c>
      <c r="D11" s="15" t="str">
        <f t="shared" ref="D11:D13" si="2">C11*B11</f>
        <v>192,500</v>
      </c>
      <c r="E11" s="5"/>
      <c r="F11" s="16"/>
      <c r="G11" s="16"/>
      <c r="H11" s="16"/>
      <c r="I11" s="16"/>
      <c r="J11" s="16"/>
      <c r="K11" s="16"/>
    </row>
    <row r="12">
      <c r="A12" s="7" t="s">
        <v>10</v>
      </c>
      <c r="B12" s="8">
        <v>7.7</v>
      </c>
      <c r="C12" s="7">
        <v>25000.0</v>
      </c>
      <c r="D12" s="15" t="str">
        <f t="shared" si="2"/>
        <v>192,500</v>
      </c>
      <c r="E12" s="7"/>
    </row>
    <row r="13">
      <c r="A13" s="7" t="s">
        <v>10</v>
      </c>
      <c r="B13" s="8">
        <v>7.7</v>
      </c>
      <c r="C13" s="7">
        <v>25000.0</v>
      </c>
      <c r="D13" s="15" t="str">
        <f t="shared" si="2"/>
        <v>192,500</v>
      </c>
      <c r="E13" s="14"/>
    </row>
    <row r="14">
      <c r="A14" s="9" t="s">
        <v>8</v>
      </c>
      <c r="B14" s="10"/>
      <c r="C14" s="11"/>
      <c r="D14" s="17" t="str">
        <f>SUM(D11:D13)</f>
        <v>  577,500 </v>
      </c>
    </row>
    <row r="15">
      <c r="A15" s="2" t="s">
        <v>11</v>
      </c>
    </row>
    <row r="16">
      <c r="A16" s="5" t="s">
        <v>2</v>
      </c>
      <c r="B16" s="6" t="s">
        <v>3</v>
      </c>
      <c r="C16" s="5" t="s">
        <v>4</v>
      </c>
      <c r="D16" s="5" t="s">
        <v>5</v>
      </c>
      <c r="E16" s="5" t="s">
        <v>6</v>
      </c>
    </row>
    <row r="17">
      <c r="A17" s="5"/>
      <c r="B17" s="8"/>
      <c r="C17" s="7"/>
      <c r="D17" s="15"/>
      <c r="E17" s="7"/>
    </row>
    <row r="18">
      <c r="A18" s="7" t="s">
        <v>10</v>
      </c>
      <c r="B18" s="8">
        <v>5.58</v>
      </c>
      <c r="C18" s="7">
        <v>25000.0</v>
      </c>
      <c r="D18" s="15" t="str">
        <f t="shared" ref="D18:D19" si="3">B18*C18</f>
        <v>139,500</v>
      </c>
      <c r="E18" s="7"/>
    </row>
    <row r="19">
      <c r="A19" s="7" t="s">
        <v>10</v>
      </c>
      <c r="B19" s="8">
        <v>5.58</v>
      </c>
      <c r="C19" s="7">
        <v>25000.0</v>
      </c>
      <c r="D19" s="15" t="str">
        <f t="shared" si="3"/>
        <v>139,500</v>
      </c>
      <c r="E19" s="7"/>
    </row>
    <row r="20">
      <c r="A20" s="9" t="s">
        <v>8</v>
      </c>
      <c r="B20" s="10"/>
      <c r="C20" s="11"/>
      <c r="D20" s="17" t="str">
        <f>SUM(D17:D19)</f>
        <v>  279,000 </v>
      </c>
    </row>
    <row r="21" ht="15.75" customHeight="1">
      <c r="A21" s="2" t="s">
        <v>12</v>
      </c>
    </row>
    <row r="22" ht="15.75" customHeight="1">
      <c r="A22" s="5" t="s">
        <v>2</v>
      </c>
      <c r="B22" s="6" t="s">
        <v>3</v>
      </c>
      <c r="C22" s="5" t="s">
        <v>4</v>
      </c>
      <c r="D22" s="5" t="s">
        <v>5</v>
      </c>
      <c r="E22" s="5" t="s">
        <v>6</v>
      </c>
    </row>
    <row r="23" ht="15.75" customHeight="1">
      <c r="A23" s="5" t="s">
        <v>10</v>
      </c>
      <c r="B23" s="8">
        <v>8.1</v>
      </c>
      <c r="C23" s="7">
        <v>25000.0</v>
      </c>
      <c r="D23" s="18" t="str">
        <f>C23*B23</f>
        <v>  202,500 </v>
      </c>
      <c r="E23" s="7"/>
    </row>
    <row r="24" ht="15.75" customHeight="1">
      <c r="A24" s="7"/>
      <c r="B24" s="8"/>
      <c r="C24" s="7"/>
      <c r="D24" s="18"/>
      <c r="E24" s="7"/>
      <c r="F24" s="16"/>
      <c r="G24" s="16"/>
      <c r="H24" s="16"/>
      <c r="I24" s="16"/>
      <c r="J24" s="16"/>
      <c r="K24" s="16"/>
    </row>
    <row r="25" ht="15.75" customHeight="1">
      <c r="A25" s="9" t="s">
        <v>8</v>
      </c>
      <c r="B25" s="10"/>
      <c r="C25" s="11"/>
      <c r="D25" s="17" t="str">
        <f>SUM(D23:D24)</f>
        <v>  202,500 </v>
      </c>
    </row>
    <row r="26" ht="15.75" customHeight="1">
      <c r="A26" s="19"/>
      <c r="B26" s="19"/>
      <c r="C26" s="19"/>
      <c r="D26" s="20"/>
    </row>
    <row r="27" ht="15.75" customHeight="1">
      <c r="A27" s="2" t="s">
        <v>13</v>
      </c>
    </row>
    <row r="28" ht="15.75" customHeight="1">
      <c r="A28" s="5" t="s">
        <v>2</v>
      </c>
      <c r="B28" s="6" t="s">
        <v>3</v>
      </c>
      <c r="C28" s="5" t="s">
        <v>4</v>
      </c>
      <c r="D28" s="5" t="s">
        <v>5</v>
      </c>
      <c r="E28" s="5" t="s">
        <v>6</v>
      </c>
    </row>
    <row r="29" ht="15.75" customHeight="1">
      <c r="A29" s="9" t="s">
        <v>8</v>
      </c>
      <c r="B29" s="10"/>
      <c r="C29" s="11"/>
      <c r="D29" s="17"/>
      <c r="E29" s="21"/>
    </row>
    <row r="30" ht="15.75" customHeight="1">
      <c r="A30" s="22" t="s">
        <v>7</v>
      </c>
      <c r="B30" s="22">
        <v>9.72</v>
      </c>
      <c r="C30" s="22">
        <v>25000.0</v>
      </c>
      <c r="D30" s="17" t="str">
        <f>C30:C32*B30:B32</f>
        <v>  243,000 </v>
      </c>
      <c r="E30" s="21"/>
    </row>
    <row r="31" ht="15.75" customHeight="1">
      <c r="A31" s="22" t="s">
        <v>8</v>
      </c>
      <c r="B31" s="22"/>
      <c r="C31" s="22"/>
      <c r="D31" s="17" t="str">
        <f>SUM(D30)</f>
        <v>  243,000 </v>
      </c>
      <c r="E31" s="21"/>
    </row>
    <row r="32" ht="15.0" customHeight="1">
      <c r="A32" s="23" t="s">
        <v>14</v>
      </c>
      <c r="B32" s="24"/>
      <c r="C32" s="24"/>
      <c r="D32" s="24"/>
      <c r="E32" s="24"/>
    </row>
    <row r="33" ht="15.0" customHeight="1"/>
    <row r="34" ht="20.25" customHeight="1">
      <c r="A34" s="4"/>
      <c r="B34" s="4"/>
      <c r="C34" s="4"/>
      <c r="D34" s="4"/>
      <c r="E34" s="4"/>
    </row>
    <row r="35" ht="15.75" customHeight="1">
      <c r="A35" s="5" t="s">
        <v>2</v>
      </c>
      <c r="B35" s="6" t="s">
        <v>3</v>
      </c>
      <c r="C35" s="5" t="s">
        <v>4</v>
      </c>
      <c r="D35" s="5" t="s">
        <v>5</v>
      </c>
      <c r="E35" s="5" t="s">
        <v>6</v>
      </c>
    </row>
    <row r="36" ht="15.75" customHeight="1">
      <c r="A36" s="7" t="s">
        <v>7</v>
      </c>
      <c r="B36" s="8">
        <v>9.42</v>
      </c>
      <c r="C36" s="7">
        <v>25000.0</v>
      </c>
      <c r="D36" s="18" t="str">
        <f>C36*B36</f>
        <v>  235,500 </v>
      </c>
      <c r="E36" s="7"/>
      <c r="F36" s="16"/>
      <c r="G36" s="16"/>
      <c r="H36" s="16"/>
      <c r="I36" s="16"/>
      <c r="J36" s="16"/>
      <c r="K36" s="16"/>
    </row>
    <row r="37" ht="15.75" customHeight="1">
      <c r="A37" s="9" t="s">
        <v>8</v>
      </c>
      <c r="B37" s="10"/>
      <c r="C37" s="11"/>
      <c r="D37" s="17" t="str">
        <f>SUM(D36)</f>
        <v>  235,500 </v>
      </c>
      <c r="F37" s="16"/>
      <c r="G37" s="16"/>
      <c r="H37" s="16"/>
      <c r="I37" s="16"/>
      <c r="J37" s="16"/>
      <c r="K37" s="16"/>
    </row>
    <row r="38" ht="15.75" customHeight="1">
      <c r="F38" s="16"/>
      <c r="G38" s="16"/>
      <c r="H38" s="16"/>
      <c r="I38" s="16"/>
      <c r="J38" s="16"/>
      <c r="K38" s="16"/>
    </row>
    <row r="39" ht="15.75" customHeight="1">
      <c r="A39" s="2" t="s">
        <v>15</v>
      </c>
    </row>
    <row r="40" ht="15.75" customHeight="1">
      <c r="A40" s="5" t="s">
        <v>2</v>
      </c>
      <c r="B40" s="6" t="s">
        <v>3</v>
      </c>
      <c r="C40" s="5" t="s">
        <v>4</v>
      </c>
      <c r="D40" s="5" t="s">
        <v>5</v>
      </c>
      <c r="E40" s="5" t="s">
        <v>6</v>
      </c>
    </row>
    <row r="41" ht="15.75" customHeight="1">
      <c r="A41" s="7" t="s">
        <v>7</v>
      </c>
      <c r="B41" s="7">
        <v>4.9</v>
      </c>
      <c r="C41" s="7">
        <v>25000.0</v>
      </c>
      <c r="D41" s="7" t="str">
        <f t="shared" ref="D41:D42" si="4">C41*B41</f>
        <v>122500</v>
      </c>
      <c r="E41" s="7"/>
    </row>
    <row r="42" ht="15.75" customHeight="1">
      <c r="A42" s="21" t="s">
        <v>7</v>
      </c>
      <c r="B42" s="7">
        <v>4.9</v>
      </c>
      <c r="C42" s="21">
        <v>25000.0</v>
      </c>
      <c r="D42" s="7" t="str">
        <f t="shared" si="4"/>
        <v>122500</v>
      </c>
      <c r="E42" s="25"/>
    </row>
    <row r="43" ht="15.75" customHeight="1">
      <c r="A43" s="9" t="s">
        <v>8</v>
      </c>
      <c r="B43" s="10"/>
      <c r="C43" s="11"/>
      <c r="D43" s="18" t="str">
        <f>SUM(D41:D42)</f>
        <v>  245,000 </v>
      </c>
      <c r="E43" s="21"/>
      <c r="F43" s="13"/>
      <c r="G43" s="13"/>
      <c r="H43" s="13"/>
      <c r="I43" s="13"/>
      <c r="J43" s="13"/>
      <c r="K43" s="13"/>
    </row>
    <row r="44" ht="15.75" customHeight="1">
      <c r="A44" s="12" t="s">
        <v>16</v>
      </c>
      <c r="B44" s="14"/>
      <c r="C44" s="14"/>
      <c r="D44" s="26">
        <v>1500000.0</v>
      </c>
    </row>
    <row r="45" ht="15.75" customHeight="1">
      <c r="A45" s="9" t="s">
        <v>17</v>
      </c>
      <c r="B45" s="10"/>
      <c r="C45" s="11"/>
      <c r="D45" s="17" t="str">
        <f>SUM(D44+D43+D37+D31+D25+D20+D14+D7)</f>
        <v>  3,816,500 </v>
      </c>
      <c r="E45" s="27"/>
    </row>
    <row r="46" ht="15.75" customHeight="1"/>
    <row r="47" ht="15.75" customHeight="1">
      <c r="F47" s="28"/>
      <c r="G47" s="28"/>
      <c r="H47" s="28"/>
      <c r="I47" s="28"/>
      <c r="J47" s="28"/>
      <c r="K47" s="28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6">
    <mergeCell ref="A14:C14"/>
    <mergeCell ref="A20:C20"/>
    <mergeCell ref="A9:E9"/>
    <mergeCell ref="A15:E15"/>
    <mergeCell ref="A32:E34"/>
    <mergeCell ref="A27:E27"/>
    <mergeCell ref="A29:C29"/>
    <mergeCell ref="A39:E39"/>
    <mergeCell ref="A37:C37"/>
    <mergeCell ref="A45:C45"/>
    <mergeCell ref="A43:C43"/>
    <mergeCell ref="A1:E1"/>
    <mergeCell ref="A3:E3"/>
    <mergeCell ref="A7:C7"/>
    <mergeCell ref="A21:E21"/>
    <mergeCell ref="A25:C25"/>
  </mergeCells>
  <printOptions/>
  <pageMargins bottom="0.59375" footer="0.0" header="0.0" left="0.7" right="0.7" top="0.75"/>
  <pageSetup scale="8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Sheet1</vt:lpstr>
      <vt:lpstr>Sheet2</vt:lpstr>
      <vt:lpstr>Sheet3</vt:lpstr>
    </vt:vector>
  </TitlesOfParts>
  <LinksUpToDate>false</LinksUpToDate>
  <SharedDoc>false</SharedDoc>
  <HyperlinksChanged>false</HyperlinksChanged>
  <Application>Microsoft Excel</Application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2024-02-15T16:25:26Z</dcterms:created>
  <dc:creator>TG WILLIAM</dc:creator>
  <cp:lastModifiedBy>NILECOM</cp:lastModifiedBy>
  <dcterms:modified xsi:type="dcterms:W3CDTF">2026-02-02T09:02:48Z</dcterms:modified>
</cp:coreProperties>
</file>