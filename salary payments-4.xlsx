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 payments" sheetId="1" r:id="rId4"/>
    <sheet state="visible" name="February payment 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<sst xmlns="http://schemas.openxmlformats.org/spreadsheetml/2006/main" count="137" uniqueCount="120">
  <si>
    <t xml:space="preserve">Name </t>
  </si>
  <si>
    <t xml:space="preserve">contact </t>
  </si>
  <si>
    <t xml:space="preserve">position </t>
  </si>
  <si>
    <t xml:space="preserve">salary </t>
  </si>
  <si>
    <t xml:space="preserve">saving </t>
  </si>
  <si>
    <t xml:space="preserve">deduction for  books of the  sacco members </t>
  </si>
  <si>
    <t xml:space="preserve">loan  amount </t>
  </si>
  <si>
    <t>interest</t>
  </si>
  <si>
    <t xml:space="preserve">repayments </t>
  </si>
  <si>
    <t xml:space="preserve">loan balance </t>
  </si>
  <si>
    <t xml:space="preserve">Amount  to be paid as salary </t>
  </si>
  <si>
    <r>
      <rPr>
        <rFont val="Arial"/>
        <color rgb="FF000000"/>
        <sz val="11.0"/>
      </rPr>
      <t xml:space="preserve">Ariho Micheal </t>
    </r>
  </si>
  <si>
    <r>
      <rPr>
        <rFont val="Arial"/>
        <color rgb="FF000000"/>
        <sz val="11.0"/>
      </rPr>
      <t>0770 317612</t>
    </r>
  </si>
  <si>
    <r>
      <rPr>
        <rFont val="Arial"/>
        <color rgb="FF000000"/>
        <sz val="11.0"/>
      </rPr>
      <t>Askari-Ruhunga</t>
    </r>
  </si>
  <si>
    <r>
      <rPr>
        <rFont val="Arial"/>
        <color rgb="FF000000"/>
        <sz val="11.0"/>
      </rPr>
      <t>Kyarisiima Justus</t>
    </r>
  </si>
  <si>
    <r>
      <rPr>
        <rFont val="Arial"/>
        <color rgb="FF000000"/>
        <sz val="11.0"/>
      </rPr>
      <t>Manager</t>
    </r>
  </si>
  <si>
    <r>
      <rPr>
        <rFont val="Arial"/>
        <color rgb="FF000000"/>
        <sz val="11.0"/>
      </rPr>
      <t>Kasumbuza Cosmas</t>
    </r>
  </si>
  <si>
    <r>
      <rPr>
        <rFont val="Arial"/>
        <color rgb="FF000000"/>
        <sz val="11.0"/>
      </rPr>
      <t>Askar-Ruburara</t>
    </r>
  </si>
  <si>
    <r>
      <rPr>
        <rFont val="Arial"/>
        <color rgb="FF000000"/>
        <sz val="11.0"/>
      </rPr>
      <t>Nayebare Prossy</t>
    </r>
  </si>
  <si>
    <r>
      <rPr>
        <rFont val="Arial"/>
        <color rgb="FF000000"/>
        <sz val="11.0"/>
      </rPr>
      <t>0761 581225</t>
    </r>
  </si>
  <si>
    <r>
      <rPr>
        <rFont val="Arial"/>
        <color rgb="FF000000"/>
        <sz val="11.0"/>
      </rPr>
      <t>a cook Ruhunga</t>
    </r>
  </si>
  <si>
    <r>
      <rPr>
        <rFont val="Arial"/>
        <color rgb="FF000000"/>
        <sz val="11.0"/>
      </rPr>
      <t xml:space="preserve">Sonia </t>
    </r>
  </si>
  <si>
    <r>
      <rPr>
        <rFont val="Arial"/>
        <color rgb="FF000000"/>
        <sz val="11.0"/>
      </rPr>
      <t>Gardener</t>
    </r>
  </si>
  <si>
    <r>
      <rPr>
        <rFont val="Arial"/>
        <color rgb="FF000000"/>
        <sz val="11.0"/>
      </rPr>
      <t xml:space="preserve">Kazoora Francis </t>
    </r>
  </si>
  <si>
    <r>
      <rPr>
        <rFont val="Arial"/>
        <color rgb="FF000000"/>
        <sz val="11.0"/>
      </rPr>
      <t>Dam inchage</t>
    </r>
  </si>
  <si>
    <r>
      <rPr>
        <rFont val="Arial"/>
        <color rgb="FF000000"/>
        <sz val="11.0"/>
      </rPr>
      <t xml:space="preserve">Mucunguzi Junior </t>
    </r>
  </si>
  <si>
    <r>
      <rPr>
        <rFont val="Arial"/>
        <color rgb="FF000000"/>
        <sz val="11.0"/>
      </rPr>
      <t>0775 664273</t>
    </r>
  </si>
  <si>
    <r>
      <rPr>
        <rFont val="Arial"/>
        <color rgb="FF000000"/>
        <sz val="11.0"/>
      </rPr>
      <t>herdsman</t>
    </r>
  </si>
  <si>
    <r>
      <rPr>
        <rFont val="Arial"/>
        <color rgb="FF000000"/>
        <sz val="11.0"/>
      </rPr>
      <t xml:space="preserve">Ainembabazi Queen </t>
    </r>
  </si>
  <si>
    <r>
      <rPr>
        <rFont val="Arial"/>
        <color rgb="FF000000"/>
        <sz val="11.0"/>
      </rPr>
      <t xml:space="preserve">Gardener </t>
    </r>
  </si>
  <si>
    <r>
      <rPr>
        <rFont val="Arial"/>
        <color rgb="FF000000"/>
        <sz val="11.0"/>
      </rPr>
      <t xml:space="preserve">Kanyesigye immaculate </t>
    </r>
  </si>
  <si>
    <r>
      <rPr>
        <rFont val="Arial"/>
        <color rgb="FF000000"/>
        <sz val="11.0"/>
      </rPr>
      <t xml:space="preserve">Gardener </t>
    </r>
  </si>
  <si>
    <r>
      <rPr>
        <rFont val="Arial"/>
        <color rgb="FF000000"/>
        <sz val="11.0"/>
      </rPr>
      <t xml:space="preserve">Ainebyona Mebo </t>
    </r>
  </si>
  <si>
    <r>
      <rPr>
        <rFont val="Arial"/>
        <color rgb="FF000000"/>
        <sz val="11.0"/>
      </rPr>
      <t xml:space="preserve">Gardener </t>
    </r>
  </si>
  <si>
    <r>
      <rPr>
        <rFont val="Arial"/>
        <color rgb="FF000000"/>
        <sz val="11.0"/>
      </rPr>
      <t xml:space="preserve">Mzee Fred Kakombe </t>
    </r>
  </si>
  <si>
    <r>
      <rPr>
        <rFont val="Arial"/>
        <color rgb="FF000000"/>
        <sz val="11.0"/>
      </rPr>
      <t>Mayonza incharge</t>
    </r>
  </si>
  <si>
    <r>
      <rPr>
        <rFont val="Arial"/>
        <color rgb="FF000000"/>
        <sz val="11.0"/>
      </rPr>
      <t xml:space="preserve">Jesica Kamuseveni </t>
    </r>
  </si>
  <si>
    <r>
      <rPr>
        <rFont val="Arial"/>
        <color rgb="FF000000"/>
        <sz val="11.0"/>
      </rPr>
      <t xml:space="preserve">Gardner </t>
    </r>
  </si>
  <si>
    <r>
      <rPr>
        <rFont val="Arial"/>
        <color rgb="FF000000"/>
        <sz val="11.0"/>
      </rPr>
      <t>Mathias Twijukye</t>
    </r>
  </si>
  <si>
    <r>
      <rPr>
        <rFont val="Arial"/>
        <color rgb="FF000000"/>
        <sz val="11.0"/>
      </rPr>
      <t>flowers care taker</t>
    </r>
  </si>
  <si>
    <r>
      <rPr>
        <rFont val="Arial"/>
        <color rgb="FF000000"/>
        <sz val="11.0"/>
      </rPr>
      <t>Nyangoma Sharon</t>
    </r>
  </si>
  <si>
    <r>
      <rPr>
        <rFont val="Arial"/>
        <color rgb="FF000000"/>
        <sz val="11.0"/>
      </rPr>
      <t>House caretaker</t>
    </r>
  </si>
  <si>
    <r>
      <rPr>
        <rFont val="Arial"/>
        <color rgb="FF000000"/>
        <sz val="11.0"/>
      </rPr>
      <t>Rwihura Duncan</t>
    </r>
  </si>
  <si>
    <r>
      <rPr>
        <rFont val="Arial"/>
        <color rgb="FF000000"/>
        <sz val="11.0"/>
      </rPr>
      <t>Driver</t>
    </r>
  </si>
  <si>
    <r>
      <rPr>
        <rFont val="Arial"/>
        <color rgb="FF000000"/>
        <sz val="11.0"/>
      </rPr>
      <t xml:space="preserve">Nasasira Ainaea </t>
    </r>
  </si>
  <si>
    <r>
      <rPr>
        <rFont val="Arial"/>
        <color rgb="FF000000"/>
        <sz val="11.0"/>
      </rPr>
      <t xml:space="preserve">plumber </t>
    </r>
  </si>
  <si>
    <r>
      <rPr>
        <rFont val="Arial"/>
        <color rgb="FF000000"/>
        <sz val="11.0"/>
      </rPr>
      <t xml:space="preserve">Nimusiima Sharon </t>
    </r>
  </si>
  <si>
    <r>
      <rPr>
        <rFont val="Arial"/>
        <color rgb="FF000000"/>
        <sz val="11.0"/>
      </rPr>
      <t xml:space="preserve">Gardener </t>
    </r>
  </si>
  <si>
    <r>
      <rPr>
        <rFont val="Arial"/>
        <color rgb="FF000000"/>
        <sz val="11.0"/>
      </rPr>
      <t>Mathias Akampurira</t>
    </r>
  </si>
  <si>
    <r>
      <rPr>
        <rFont val="Arial"/>
        <color rgb="FF000000"/>
        <sz val="11.0"/>
      </rPr>
      <t xml:space="preserve">Gardener </t>
    </r>
  </si>
  <si>
    <r>
      <rPr>
        <rFont val="Arial"/>
        <color rgb="FF000000"/>
        <sz val="11.0"/>
      </rPr>
      <t>Fednand Tumusiime</t>
    </r>
  </si>
  <si>
    <r>
      <rPr>
        <rFont val="Arial"/>
        <color rgb="FF000000"/>
        <sz val="11.0"/>
      </rPr>
      <t xml:space="preserve">Machine operator </t>
    </r>
  </si>
  <si>
    <r>
      <rPr>
        <rFont val="Arial"/>
        <color rgb="FF000000"/>
        <sz val="11.0"/>
      </rPr>
      <t>Simon Kulooba</t>
    </r>
  </si>
  <si>
    <r>
      <rPr>
        <rFont val="Arial"/>
        <color rgb="FF000000"/>
        <sz val="11.0"/>
      </rPr>
      <t xml:space="preserve">Gardener </t>
    </r>
  </si>
  <si>
    <r>
      <rPr>
        <rFont val="Arial"/>
        <color rgb="FF000000"/>
        <sz val="11.0"/>
      </rPr>
      <t>Frank Begumanya</t>
    </r>
  </si>
  <si>
    <r>
      <rPr>
        <rFont val="Arial"/>
        <color rgb="FF000000"/>
        <sz val="11.0"/>
      </rPr>
      <t xml:space="preserve">Gardener </t>
    </r>
  </si>
  <si>
    <r>
      <rPr>
        <rFont val="Arial"/>
        <sz val="11.0"/>
      </rPr>
      <t>Alex Muzahura</t>
    </r>
  </si>
  <si>
    <r>
      <rPr>
        <rFont val="Arial"/>
        <sz val="11.0"/>
      </rPr>
      <t xml:space="preserve">Banana plantation </t>
    </r>
  </si>
  <si>
    <t>kyomugasho jolly</t>
  </si>
  <si>
    <t>manager</t>
  </si>
  <si>
    <t xml:space="preserve">Madam director </t>
  </si>
  <si>
    <t xml:space="preserve">TOTAL </t>
  </si>
  <si>
    <t xml:space="preserve">money  for  the  sacco </t>
  </si>
  <si>
    <t xml:space="preserve">        savings </t>
  </si>
  <si>
    <t>.</t>
  </si>
  <si>
    <t xml:space="preserve">       deduction for  sacco books</t>
  </si>
  <si>
    <t xml:space="preserve">       interests</t>
  </si>
  <si>
    <t xml:space="preserve">      repayments </t>
  </si>
  <si>
    <r>
      <rPr>
        <rFont val="Arial"/>
        <color rgb="FF000000"/>
        <sz val="11.0"/>
      </rPr>
      <t xml:space="preserve">Ariho Micheal </t>
    </r>
  </si>
  <si>
    <r>
      <rPr>
        <rFont val="Arial"/>
        <color rgb="FF000000"/>
        <sz val="11.0"/>
      </rPr>
      <t>0770 317612</t>
    </r>
  </si>
  <si>
    <r>
      <rPr>
        <rFont val="Arial"/>
        <color rgb="FF000000"/>
        <sz val="11.0"/>
      </rPr>
      <t>Askari-Ruhunga</t>
    </r>
  </si>
  <si>
    <r>
      <rPr>
        <rFont val="Arial"/>
        <color rgb="FF000000"/>
        <sz val="11.0"/>
      </rPr>
      <t>Kyarisiima Justus</t>
    </r>
  </si>
  <si>
    <r>
      <rPr>
        <rFont val="Arial"/>
        <color rgb="FF000000"/>
        <sz val="11.0"/>
      </rPr>
      <t>Manager</t>
    </r>
  </si>
  <si>
    <r>
      <rPr>
        <rFont val="Arial"/>
        <color rgb="FF000000"/>
        <sz val="11.0"/>
      </rPr>
      <t>Kasumbuza Cosmas</t>
    </r>
  </si>
  <si>
    <r>
      <rPr>
        <rFont val="Arial"/>
        <color rgb="FF000000"/>
        <sz val="11.0"/>
      </rPr>
      <t>Askar-Ruburara</t>
    </r>
  </si>
  <si>
    <r>
      <rPr>
        <rFont val="Arial"/>
        <color rgb="FF000000"/>
        <sz val="11.0"/>
      </rPr>
      <t>Nayebare Prossy</t>
    </r>
  </si>
  <si>
    <r>
      <rPr>
        <rFont val="Arial"/>
        <color rgb="FF000000"/>
        <sz val="11.0"/>
      </rPr>
      <t>0761 581225</t>
    </r>
  </si>
  <si>
    <r>
      <rPr>
        <rFont val="Arial"/>
        <color rgb="FF000000"/>
        <sz val="11.0"/>
      </rPr>
      <t>a cook Ruhunga</t>
    </r>
  </si>
  <si>
    <r>
      <rPr>
        <rFont val="Arial"/>
        <color rgb="FF000000"/>
        <sz val="11.0"/>
      </rPr>
      <t xml:space="preserve">Sonia </t>
    </r>
  </si>
  <si>
    <r>
      <rPr>
        <rFont val="Arial"/>
        <color rgb="FF000000"/>
        <sz val="11.0"/>
      </rPr>
      <t>Gardener</t>
    </r>
  </si>
  <si>
    <r>
      <rPr>
        <rFont val="Arial"/>
        <color rgb="FF000000"/>
        <sz val="11.0"/>
      </rPr>
      <t xml:space="preserve">Kazoora Francis </t>
    </r>
  </si>
  <si>
    <r>
      <rPr>
        <rFont val="Arial"/>
        <color rgb="FF000000"/>
        <sz val="11.0"/>
      </rPr>
      <t>Dam inchage</t>
    </r>
  </si>
  <si>
    <r>
      <rPr>
        <rFont val="Arial"/>
        <color rgb="FF000000"/>
        <sz val="11.0"/>
      </rPr>
      <t xml:space="preserve">Mucunguzi Junior </t>
    </r>
  </si>
  <si>
    <r>
      <rPr>
        <rFont val="Arial"/>
        <color rgb="FF000000"/>
        <sz val="11.0"/>
      </rPr>
      <t>0775 664273</t>
    </r>
  </si>
  <si>
    <r>
      <rPr>
        <rFont val="Arial"/>
        <color rgb="FF000000"/>
        <sz val="11.0"/>
      </rPr>
      <t>herdsman</t>
    </r>
  </si>
  <si>
    <r>
      <rPr>
        <rFont val="Arial"/>
        <color rgb="FF000000"/>
        <sz val="11.0"/>
      </rPr>
      <t xml:space="preserve">Ainembabazi Queen </t>
    </r>
  </si>
  <si>
    <r>
      <rPr>
        <rFont val="Arial"/>
        <color rgb="FF000000"/>
        <sz val="11.0"/>
      </rPr>
      <t xml:space="preserve">Gardener </t>
    </r>
  </si>
  <si>
    <r>
      <rPr>
        <rFont val="Arial"/>
        <color rgb="FF000000"/>
        <sz val="11.0"/>
      </rPr>
      <t xml:space="preserve">Kanyesigye immaculate </t>
    </r>
  </si>
  <si>
    <r>
      <rPr>
        <rFont val="Arial"/>
        <color rgb="FF000000"/>
        <sz val="11.0"/>
      </rPr>
      <t xml:space="preserve">Gardener </t>
    </r>
  </si>
  <si>
    <r>
      <rPr>
        <rFont val="Arial"/>
        <color rgb="FF000000"/>
        <sz val="11.0"/>
      </rPr>
      <t xml:space="preserve">Ainebyona Mebo </t>
    </r>
  </si>
  <si>
    <r>
      <rPr>
        <rFont val="Arial"/>
        <color rgb="FF000000"/>
        <sz val="11.0"/>
      </rPr>
      <t xml:space="preserve">Gardener </t>
    </r>
  </si>
  <si>
    <r>
      <rPr>
        <rFont val="Arial"/>
        <color rgb="FF000000"/>
        <sz val="11.0"/>
      </rPr>
      <t xml:space="preserve">Mzee Fred Kakombe </t>
    </r>
  </si>
  <si>
    <r>
      <rPr>
        <rFont val="Arial"/>
        <color rgb="FF000000"/>
        <sz val="11.0"/>
      </rPr>
      <t>Mayonza incharge</t>
    </r>
  </si>
  <si>
    <r>
      <rPr>
        <rFont val="Arial"/>
        <color rgb="FF000000"/>
        <sz val="11.0"/>
      </rPr>
      <t xml:space="preserve">Jesica Kamuseveni </t>
    </r>
  </si>
  <si>
    <r>
      <rPr>
        <rFont val="Arial"/>
        <color rgb="FF000000"/>
        <sz val="11.0"/>
      </rPr>
      <t xml:space="preserve">Gardner </t>
    </r>
  </si>
  <si>
    <r>
      <rPr>
        <rFont val="Arial"/>
        <color rgb="FF000000"/>
        <sz val="11.0"/>
      </rPr>
      <t>Mathias Twijukye</t>
    </r>
  </si>
  <si>
    <r>
      <rPr>
        <rFont val="Arial"/>
        <color rgb="FF000000"/>
        <sz val="11.0"/>
      </rPr>
      <t>flowers care taker</t>
    </r>
  </si>
  <si>
    <r>
      <rPr>
        <rFont val="Arial"/>
        <color rgb="FF000000"/>
        <sz val="11.0"/>
      </rPr>
      <t>Nyangoma Sharon</t>
    </r>
  </si>
  <si>
    <r>
      <rPr>
        <rFont val="Arial"/>
        <color rgb="FF000000"/>
        <sz val="11.0"/>
      </rPr>
      <t>House caretaker</t>
    </r>
  </si>
  <si>
    <r>
      <rPr>
        <rFont val="Arial"/>
        <color rgb="FF000000"/>
        <sz val="11.0"/>
      </rPr>
      <t>Rwihura Duncan</t>
    </r>
  </si>
  <si>
    <r>
      <rPr>
        <rFont val="Arial"/>
        <color rgb="FF000000"/>
        <sz val="11.0"/>
      </rPr>
      <t>Driver</t>
    </r>
  </si>
  <si>
    <r>
      <rPr>
        <rFont val="Arial"/>
        <color rgb="FF000000"/>
        <sz val="11.0"/>
      </rPr>
      <t xml:space="preserve">Nasasira Ainaea </t>
    </r>
  </si>
  <si>
    <r>
      <rPr>
        <rFont val="Arial"/>
        <color rgb="FF000000"/>
        <sz val="11.0"/>
      </rPr>
      <t xml:space="preserve">plumber </t>
    </r>
  </si>
  <si>
    <r>
      <rPr>
        <rFont val="Arial"/>
        <color rgb="FF000000"/>
        <sz val="11.0"/>
      </rPr>
      <t xml:space="preserve">Nimusiima Sharon </t>
    </r>
  </si>
  <si>
    <r>
      <rPr>
        <rFont val="Arial"/>
        <color rgb="FF000000"/>
        <sz val="11.0"/>
      </rPr>
      <t xml:space="preserve">Gardener </t>
    </r>
  </si>
  <si>
    <r>
      <rPr>
        <rFont val="Arial"/>
        <color rgb="FF000000"/>
        <sz val="11.0"/>
      </rPr>
      <t>Mathias Akampurira</t>
    </r>
  </si>
  <si>
    <r>
      <rPr>
        <rFont val="Arial"/>
        <color rgb="FF000000"/>
        <sz val="11.0"/>
      </rPr>
      <t xml:space="preserve">Gardener </t>
    </r>
  </si>
  <si>
    <r>
      <rPr>
        <rFont val="Arial"/>
        <color rgb="FF000000"/>
        <sz val="11.0"/>
      </rPr>
      <t>Fednand Tumusiime</t>
    </r>
  </si>
  <si>
    <r>
      <rPr>
        <rFont val="Arial"/>
        <color rgb="FF000000"/>
        <sz val="11.0"/>
      </rPr>
      <t xml:space="preserve">Machine operator </t>
    </r>
  </si>
  <si>
    <r>
      <rPr>
        <rFont val="Arial"/>
        <color rgb="FF000000"/>
        <sz val="11.0"/>
      </rPr>
      <t>Simon Kulooba</t>
    </r>
  </si>
  <si>
    <r>
      <rPr>
        <rFont val="Arial"/>
        <color rgb="FF000000"/>
        <sz val="11.0"/>
      </rPr>
      <t xml:space="preserve">Gardener </t>
    </r>
  </si>
  <si>
    <r>
      <rPr>
        <rFont val="Arial"/>
        <color rgb="FF000000"/>
        <sz val="11.0"/>
      </rPr>
      <t>Frank Begumanya</t>
    </r>
  </si>
  <si>
    <r>
      <rPr>
        <rFont val="Arial"/>
        <color rgb="FF000000"/>
        <sz val="11.0"/>
      </rPr>
      <t xml:space="preserve">Gardener </t>
    </r>
  </si>
  <si>
    <r>
      <rPr>
        <rFont val="Arial"/>
        <sz val="11.0"/>
      </rPr>
      <t>Alex Muzahura</t>
    </r>
  </si>
  <si>
    <r>
      <rPr>
        <rFont val="Arial"/>
        <sz val="11.0"/>
      </rPr>
      <t xml:space="preserve">Banana plantation </t>
    </r>
  </si>
  <si>
    <t xml:space="preserve">total </t>
  </si>
  <si>
    <t xml:space="preserve">money for sacco </t>
  </si>
  <si>
    <t xml:space="preserve">savings </t>
  </si>
  <si>
    <t xml:space="preserve">deduction for sacco books </t>
  </si>
  <si>
    <t>interests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</si>
</sst>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Arial"/>
      <scheme val="minor"/>
    </font>
    <font>
      <b/>
      <sz val="11.0"/>
      <color rgb="FF0000FF"/>
      <name val="Arial"/>
    </font>
    <font>
      <sz val="11.0"/>
      <color rgb="FF000000"/>
      <name val="Arial"/>
    </font>
    <font>
      <sz val="11.0"/>
      <color rgb="FF000000"/>
      <name val="Calibri"/>
    </font>
    <font/>
    <font>
      <sz val="11.0"/>
      <name val="Arial"/>
    </font>
    <font>
      <sz val="11.0"/>
      <color rgb="FF0000FF"/>
      <name val="Arial"/>
    </font>
    <font>
      <b/>
      <sz val="11.0"/>
      <color rgb="FFFFC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 vertical="bottom"/>
    </xf>
    <xf borderId="0" fillId="0" fontId="3" numFmtId="3" xfId="0" applyAlignment="1" applyFont="1" applyNumberFormat="1">
      <alignment horizontal="right" vertical="bottom"/>
    </xf>
    <xf borderId="0" fillId="0" fontId="4" numFmtId="3" xfId="0" applyAlignment="1" applyFont="1" applyNumberFormat="1">
      <alignment vertical="center"/>
    </xf>
    <xf borderId="0" fillId="0" fontId="3" numFmtId="0" xfId="0" applyAlignment="1" applyFont="1">
      <alignment horizontal="lef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left" vertical="top"/>
    </xf>
    <xf borderId="0" fillId="0" fontId="3" numFmtId="3" xfId="0" applyAlignment="1" applyFont="1" applyNumberFormat="1">
      <alignment horizontal="left" vertical="bottom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right" vertical="center"/>
    </xf>
    <xf borderId="0" fillId="0" fontId="5" numFmtId="0" xfId="0" applyAlignment="1" applyFont="1">
      <alignment vertical="center"/>
    </xf>
    <xf borderId="0" fillId="0" fontId="6" numFmtId="3" xfId="0" applyAlignment="1" applyFont="1" applyNumberFormat="1">
      <alignment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1" numFmtId="3" xfId="0" applyAlignment="1" applyFont="1" applyNumberFormat="1">
      <alignment vertical="center"/>
    </xf>
    <xf borderId="0" fillId="0" fontId="5" numFmtId="3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2.14"/>
    <col customWidth="1" min="3" max="3" width="15.0"/>
    <col customWidth="1" min="4" max="5" width="10.0"/>
    <col customWidth="1" min="6" max="6" width="37.57"/>
    <col customWidth="1" min="7" max="7" width="15.86"/>
    <col customWidth="1" min="8" max="8" width="16.57"/>
    <col customWidth="1" min="9" max="9" width="15.29"/>
    <col customWidth="1" min="10" max="10" width="14.14"/>
    <col customWidth="1" min="11" max="11" width="23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 t="s">
        <v>11</v>
      </c>
      <c r="B2" s="2" t="s">
        <v>12</v>
      </c>
      <c r="C2" s="2" t="s">
        <v>13</v>
      </c>
      <c r="D2" s="3">
        <v>200000.0</v>
      </c>
      <c r="E2">
        <v>50000.0</v>
      </c>
      <c r="G2">
        <v>500000.0</v>
      </c>
      <c r="H2">
        <v>37500.0</v>
      </c>
      <c r="I2">
        <v>50000.0</v>
      </c>
      <c r="J2">
        <v>450000.0</v>
      </c>
      <c r="K2" s="4" t="str">
        <f>D2-E2-H2-I2</f>
        <v>62,500</v>
      </c>
    </row>
    <row r="3" ht="14.25" customHeight="1">
      <c r="A3" s="2" t="s">
        <v>14</v>
      </c>
      <c r="B3" s="5">
        <v>7.88383588E8</v>
      </c>
      <c r="C3" s="2" t="s">
        <v>15</v>
      </c>
      <c r="D3" s="3">
        <v>250000.0</v>
      </c>
      <c r="E3">
        <v>100000.0</v>
      </c>
      <c r="G3">
        <v>300000.0</v>
      </c>
      <c r="H3">
        <v>22500.0</v>
      </c>
      <c r="I3">
        <v>20000.0</v>
      </c>
      <c r="J3">
        <v>280000.0</v>
      </c>
      <c r="K3">
        <v>107500.0</v>
      </c>
    </row>
    <row r="4" ht="14.25" customHeight="1">
      <c r="A4" s="2" t="s">
        <v>16</v>
      </c>
      <c r="B4" s="5">
        <v>7.72796255E8</v>
      </c>
      <c r="C4" s="2" t="s">
        <v>17</v>
      </c>
      <c r="D4" s="3">
        <v>200000.0</v>
      </c>
      <c r="E4">
        <v>100000.0</v>
      </c>
      <c r="G4">
        <v>150000.0</v>
      </c>
      <c r="H4">
        <v>13800.0</v>
      </c>
      <c r="J4">
        <v>150000.0</v>
      </c>
      <c r="K4">
        <v>86200.0</v>
      </c>
    </row>
    <row r="5" ht="14.25" customHeight="1">
      <c r="A5" s="2" t="s">
        <v>18</v>
      </c>
      <c r="B5" s="2" t="s">
        <v>19</v>
      </c>
      <c r="C5" s="2" t="s">
        <v>20</v>
      </c>
      <c r="D5" s="3">
        <v>150000.0</v>
      </c>
      <c r="E5">
        <v>50000.0</v>
      </c>
      <c r="K5">
        <v>100000.0</v>
      </c>
    </row>
    <row r="6" ht="14.25" customHeight="1">
      <c r="A6" s="2" t="s">
        <v>21</v>
      </c>
      <c r="B6" s="6">
        <v>7.63543426E8</v>
      </c>
      <c r="C6" s="2" t="s">
        <v>22</v>
      </c>
      <c r="D6" s="3">
        <v>200000.0</v>
      </c>
      <c r="E6">
        <v>50000.0</v>
      </c>
      <c r="G6">
        <v>400000.0</v>
      </c>
      <c r="H6">
        <v>30000.0</v>
      </c>
      <c r="J6">
        <v>400000.0</v>
      </c>
      <c r="K6">
        <v>120000.0</v>
      </c>
    </row>
    <row r="7" ht="14.25" customHeight="1">
      <c r="A7" s="2" t="s">
        <v>23</v>
      </c>
      <c r="B7" s="6">
        <v>7.68861889E8</v>
      </c>
      <c r="C7" s="2" t="s">
        <v>24</v>
      </c>
      <c r="D7" s="3">
        <v>230000.0</v>
      </c>
      <c r="E7">
        <v>50000.0</v>
      </c>
      <c r="G7">
        <v>350000.0</v>
      </c>
      <c r="H7">
        <v>28300.0</v>
      </c>
      <c r="I7">
        <v>50000.0</v>
      </c>
      <c r="J7">
        <v>300000.0</v>
      </c>
      <c r="K7">
        <v>101700.0</v>
      </c>
    </row>
    <row r="8" ht="14.25" customHeight="1">
      <c r="A8" s="2" t="s">
        <v>25</v>
      </c>
      <c r="B8" s="2" t="s">
        <v>26</v>
      </c>
      <c r="C8" s="2" t="s">
        <v>27</v>
      </c>
      <c r="D8" s="3">
        <v>230000.0</v>
      </c>
      <c r="E8">
        <v>75000.0</v>
      </c>
      <c r="G8">
        <v>160000.0</v>
      </c>
      <c r="H8">
        <v>9400.0</v>
      </c>
      <c r="I8">
        <v>30000.0</v>
      </c>
      <c r="J8">
        <v>130000.0</v>
      </c>
      <c r="K8">
        <v>115600.0</v>
      </c>
    </row>
    <row r="9" ht="14.25" customHeight="1">
      <c r="A9" s="2" t="s">
        <v>28</v>
      </c>
      <c r="B9" s="5">
        <v>7.87481648E8</v>
      </c>
      <c r="C9" s="2" t="s">
        <v>29</v>
      </c>
      <c r="D9" s="3">
        <v>200000.0</v>
      </c>
      <c r="E9">
        <v>50000.0</v>
      </c>
      <c r="F9">
        <v>4000.0</v>
      </c>
      <c r="G9">
        <v>200000.0</v>
      </c>
      <c r="H9">
        <v>15000.0</v>
      </c>
      <c r="I9">
        <v>20000.0</v>
      </c>
      <c r="J9">
        <v>180000.0</v>
      </c>
      <c r="K9">
        <v>111000.0</v>
      </c>
    </row>
    <row r="10" ht="14.25" customHeight="1">
      <c r="A10" s="2" t="s">
        <v>30</v>
      </c>
      <c r="B10" s="5">
        <v>7.88134549E8</v>
      </c>
      <c r="C10" s="7" t="s">
        <v>31</v>
      </c>
      <c r="D10" s="3">
        <v>200000.0</v>
      </c>
      <c r="E10">
        <v>50000.0</v>
      </c>
      <c r="G10">
        <v>500000.0</v>
      </c>
      <c r="H10">
        <v>37500.0</v>
      </c>
      <c r="J10">
        <v>500000.0</v>
      </c>
      <c r="K10">
        <v>112500.0</v>
      </c>
    </row>
    <row r="11" ht="14.25" customHeight="1">
      <c r="A11" s="2" t="s">
        <v>32</v>
      </c>
      <c r="B11" s="5">
        <v>7.82462736E8</v>
      </c>
      <c r="C11" s="7" t="s">
        <v>33</v>
      </c>
      <c r="D11" s="3">
        <v>200000.0</v>
      </c>
      <c r="E11">
        <v>150000.0</v>
      </c>
      <c r="F11">
        <v>4000.0</v>
      </c>
      <c r="K11">
        <v>46000.0</v>
      </c>
    </row>
    <row r="12" ht="14.25" customHeight="1">
      <c r="A12" s="2" t="s">
        <v>34</v>
      </c>
      <c r="B12" s="5">
        <v>7.9024746E8</v>
      </c>
      <c r="C12" s="2" t="s">
        <v>35</v>
      </c>
      <c r="D12" s="3">
        <v>200000.0</v>
      </c>
      <c r="E12">
        <v>50000.0</v>
      </c>
      <c r="G12">
        <v>235000.0</v>
      </c>
      <c r="H12">
        <v>17700.0</v>
      </c>
      <c r="J12">
        <v>235000.0</v>
      </c>
      <c r="K12">
        <v>132300.0</v>
      </c>
    </row>
    <row r="13" ht="14.25" customHeight="1">
      <c r="A13" s="2" t="s">
        <v>36</v>
      </c>
      <c r="B13" s="2">
        <v>7.85516537E8</v>
      </c>
      <c r="C13" s="2" t="s">
        <v>37</v>
      </c>
      <c r="D13" s="3">
        <v>200000.0</v>
      </c>
      <c r="E13">
        <v>50000.0</v>
      </c>
      <c r="F13">
        <v>4000.0</v>
      </c>
      <c r="G13">
        <v>400000.0</v>
      </c>
      <c r="H13">
        <v>30000.0</v>
      </c>
      <c r="I13">
        <v>100000.0</v>
      </c>
      <c r="J13">
        <v>300000.0</v>
      </c>
      <c r="K13">
        <v>16000.0</v>
      </c>
    </row>
    <row r="14" ht="14.25" customHeight="1">
      <c r="A14" s="2" t="s">
        <v>38</v>
      </c>
      <c r="B14" s="5">
        <v>7.8561492E8</v>
      </c>
      <c r="C14" s="2" t="s">
        <v>39</v>
      </c>
      <c r="D14" s="3">
        <v>220000.0</v>
      </c>
      <c r="E14">
        <v>50000.0</v>
      </c>
      <c r="F14">
        <v>4000.0</v>
      </c>
      <c r="G14">
        <v>130000.0</v>
      </c>
      <c r="H14">
        <v>7800.0</v>
      </c>
      <c r="I14">
        <v>80000.0</v>
      </c>
      <c r="J14">
        <v>50000.0</v>
      </c>
      <c r="K14">
        <v>78200.0</v>
      </c>
    </row>
    <row r="15" ht="14.25" customHeight="1">
      <c r="A15" s="2" t="s">
        <v>40</v>
      </c>
      <c r="B15" s="5">
        <v>7.80589399E8</v>
      </c>
      <c r="C15" s="2" t="s">
        <v>41</v>
      </c>
      <c r="D15" s="3">
        <v>300000.0</v>
      </c>
      <c r="E15">
        <v>200000.0</v>
      </c>
      <c r="K15">
        <v>100000.0</v>
      </c>
    </row>
    <row r="16" ht="14.25" customHeight="1">
      <c r="A16" s="2" t="s">
        <v>42</v>
      </c>
      <c r="B16" s="5">
        <v>7.74510171E8</v>
      </c>
      <c r="C16" s="2" t="s">
        <v>43</v>
      </c>
      <c r="D16" s="3">
        <v>400000.0</v>
      </c>
      <c r="E16">
        <v>75000.0</v>
      </c>
      <c r="G16">
        <v>700000.0</v>
      </c>
      <c r="H16">
        <v>52500.0</v>
      </c>
      <c r="I16">
        <v>100000.0</v>
      </c>
      <c r="J16">
        <v>600000.0</v>
      </c>
      <c r="K16">
        <v>172500.0</v>
      </c>
    </row>
    <row r="17" ht="14.25" customHeight="1">
      <c r="A17" s="2" t="s">
        <v>44</v>
      </c>
      <c r="B17" s="5">
        <v>7.65353098E8</v>
      </c>
      <c r="C17" s="2" t="s">
        <v>45</v>
      </c>
      <c r="D17" s="3">
        <v>300000.0</v>
      </c>
      <c r="E17">
        <v>150000.0</v>
      </c>
      <c r="G17">
        <v>600000.0</v>
      </c>
      <c r="H17">
        <v>20000.0</v>
      </c>
      <c r="I17">
        <v>100000.0</v>
      </c>
      <c r="J17">
        <v>500000.0</v>
      </c>
      <c r="K17">
        <v>30000.0</v>
      </c>
    </row>
    <row r="18" ht="14.25" customHeight="1">
      <c r="A18" s="2" t="s">
        <v>46</v>
      </c>
      <c r="B18" s="5">
        <v>7.80119749E8</v>
      </c>
      <c r="C18" s="2" t="s">
        <v>47</v>
      </c>
      <c r="D18" s="3">
        <v>200000.0</v>
      </c>
      <c r="E18">
        <v>50000.0</v>
      </c>
      <c r="F18">
        <v>4000.0</v>
      </c>
      <c r="G18">
        <v>200000.0</v>
      </c>
      <c r="H18">
        <v>10000.0</v>
      </c>
      <c r="J18">
        <v>200000.0</v>
      </c>
      <c r="K18">
        <v>136000.0</v>
      </c>
    </row>
    <row r="19" ht="14.25" customHeight="1">
      <c r="A19" s="2" t="s">
        <v>48</v>
      </c>
      <c r="B19" s="5">
        <v>7.82462736E8</v>
      </c>
      <c r="C19" s="2" t="s">
        <v>49</v>
      </c>
      <c r="D19" s="3">
        <v>200000.0</v>
      </c>
      <c r="E19">
        <v>175000.0</v>
      </c>
      <c r="F19">
        <v>4000.0</v>
      </c>
      <c r="K19">
        <v>21000.0</v>
      </c>
    </row>
    <row r="20" ht="14.25" customHeight="1">
      <c r="A20" s="2" t="s">
        <v>50</v>
      </c>
      <c r="B20" s="8">
        <v>7.60048591E8</v>
      </c>
      <c r="C20" s="2" t="s">
        <v>51</v>
      </c>
      <c r="D20" s="3">
        <v>200000.0</v>
      </c>
      <c r="E20">
        <v>50000.0</v>
      </c>
      <c r="F20">
        <v>4000.0</v>
      </c>
      <c r="G20">
        <v>150000.0</v>
      </c>
      <c r="H20">
        <v>11300.0</v>
      </c>
      <c r="J20">
        <v>150000.0</v>
      </c>
      <c r="K20">
        <v>134700.0</v>
      </c>
    </row>
    <row r="21" ht="14.25" customHeight="1">
      <c r="A21" s="2" t="s">
        <v>52</v>
      </c>
      <c r="B21" s="6">
        <v>7.82782409E8</v>
      </c>
      <c r="C21" s="2" t="s">
        <v>53</v>
      </c>
      <c r="D21" s="3">
        <v>200000.0</v>
      </c>
      <c r="E21">
        <v>50000.0</v>
      </c>
      <c r="F21">
        <v>4000.0</v>
      </c>
      <c r="G21">
        <v>400000.0</v>
      </c>
      <c r="H21">
        <v>30000.0</v>
      </c>
      <c r="J21">
        <v>400000.0</v>
      </c>
      <c r="K21">
        <v>116000.0</v>
      </c>
    </row>
    <row r="22" ht="14.25" customHeight="1">
      <c r="A22" s="2" t="s">
        <v>54</v>
      </c>
      <c r="B22" s="6">
        <v>7.54688731E8</v>
      </c>
      <c r="C22" s="2" t="s">
        <v>55</v>
      </c>
      <c r="D22" s="3">
        <v>200000.0</v>
      </c>
      <c r="E22">
        <v>50000.0</v>
      </c>
      <c r="F22">
        <v>4000.0</v>
      </c>
      <c r="G22">
        <v>250000.0</v>
      </c>
      <c r="H22">
        <v>6300.0</v>
      </c>
      <c r="J22">
        <v>250000.0</v>
      </c>
      <c r="K22">
        <v>139700.0</v>
      </c>
    </row>
    <row r="23" ht="16.5" customHeight="1">
      <c r="A23" s="9" t="s">
        <v>56</v>
      </c>
      <c r="B23" s="10">
        <v>7.51590239E8</v>
      </c>
      <c r="C23" s="9" t="s">
        <v>57</v>
      </c>
      <c r="D23" s="3">
        <v>200000.0</v>
      </c>
      <c r="E23">
        <v>150000.0</v>
      </c>
      <c r="F23">
        <v>4000.0</v>
      </c>
      <c r="G23">
        <v>70000.0</v>
      </c>
      <c r="H23">
        <v>4300.0</v>
      </c>
      <c r="J23">
        <v>70000.0</v>
      </c>
      <c r="K23">
        <v>41700.0</v>
      </c>
    </row>
    <row r="24" ht="14.25" customHeight="1">
      <c r="A24" s="9" t="s">
        <v>58</v>
      </c>
      <c r="B24" s="10"/>
      <c r="C24" s="9" t="s">
        <v>59</v>
      </c>
      <c r="D24" s="3"/>
      <c r="E24">
        <v>300000.0</v>
      </c>
    </row>
    <row r="25" ht="14.25" customHeight="1">
      <c r="A25" t="s">
        <v>60</v>
      </c>
      <c r="D25" s="11"/>
      <c r="E25">
        <v>2000000.0</v>
      </c>
    </row>
    <row r="26" ht="14.25" customHeight="1">
      <c r="A26" s="1" t="s">
        <v>61</v>
      </c>
      <c r="D26" s="12" t="str">
        <f t="shared" ref="D26:K26" si="1">SUM(D2:D25)</f>
        <v>4,880,000</v>
      </c>
      <c r="E26" s="13" t="str">
        <f t="shared" si="1"/>
        <v>4125000</v>
      </c>
      <c r="F26" s="13" t="str">
        <f t="shared" si="1"/>
        <v>40000</v>
      </c>
      <c r="G26" s="13" t="str">
        <f t="shared" si="1"/>
        <v>5695000</v>
      </c>
      <c r="H26" s="13" t="str">
        <f t="shared" si="1"/>
        <v>383900</v>
      </c>
      <c r="I26" s="13" t="str">
        <f t="shared" si="1"/>
        <v>550000</v>
      </c>
      <c r="J26" s="13" t="str">
        <f t="shared" si="1"/>
        <v>5145000</v>
      </c>
      <c r="K26" s="12" t="str">
        <f t="shared" si="1"/>
        <v>2,081,100</v>
      </c>
    </row>
    <row r="27" ht="14.25" customHeight="1"/>
    <row r="28" ht="14.25" customHeight="1"/>
    <row r="29" ht="14.25" customHeight="1">
      <c r="A29" s="14" t="s">
        <v>62</v>
      </c>
    </row>
    <row r="30" ht="14.25" customHeight="1">
      <c r="A30" t="s">
        <v>63</v>
      </c>
      <c r="B30">
        <v>4125000.0</v>
      </c>
      <c r="E30" t="s">
        <v>64</v>
      </c>
    </row>
    <row r="31" ht="14.25" customHeight="1">
      <c r="A31" t="s">
        <v>65</v>
      </c>
      <c r="B31">
        <v>40000.0</v>
      </c>
    </row>
    <row r="32" ht="14.25" customHeight="1">
      <c r="A32" t="s">
        <v>66</v>
      </c>
      <c r="B32">
        <v>383900.0</v>
      </c>
    </row>
    <row r="33" ht="14.25" customHeight="1">
      <c r="A33" t="s">
        <v>67</v>
      </c>
      <c r="B33" s="11">
        <v>550000.0</v>
      </c>
    </row>
    <row r="34" ht="14.25" customHeight="1">
      <c r="A34" s="1" t="s">
        <v>61</v>
      </c>
      <c r="B34" s="1" t="str">
        <f>SUM(B30:B33)</f>
        <v>5098900</v>
      </c>
    </row>
    <row r="35" ht="14.25" customHeight="1"/>
    <row r="36" ht="14.25" customHeight="1"/>
    <row r="37" ht="14.25" customHeight="1">
      <c r="F37">
        <v>3.0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14"/>
    <col customWidth="1" min="2" max="2" width="17.86"/>
    <col customWidth="1" min="3" max="3" width="17.0"/>
    <col customWidth="1" min="4" max="4" width="10.0"/>
    <col customWidth="1" min="5" max="5" width="13.71"/>
    <col customWidth="1" min="6" max="6" width="37.0"/>
    <col customWidth="1" min="7" max="7" width="12.29"/>
    <col customWidth="1" min="8" max="8" width="17.71"/>
    <col customWidth="1" min="9" max="9" width="13.43"/>
    <col customWidth="1" min="10" max="10" width="14.0"/>
    <col customWidth="1" min="11" max="11" width="23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 t="s">
        <v>68</v>
      </c>
      <c r="B2" s="2" t="s">
        <v>69</v>
      </c>
      <c r="C2" s="2" t="s">
        <v>70</v>
      </c>
      <c r="D2" s="3">
        <v>200000.0</v>
      </c>
      <c r="E2">
        <v>50000.0</v>
      </c>
      <c r="F2">
        <v>4000.0</v>
      </c>
      <c r="G2">
        <v>450000.0</v>
      </c>
      <c r="H2">
        <v>45000.0</v>
      </c>
      <c r="I2">
        <v>40000.0</v>
      </c>
      <c r="J2">
        <v>410000.0</v>
      </c>
      <c r="K2" s="4" t="str">
        <f>D2-E2-F2-H2-I2</f>
        <v>61,000</v>
      </c>
    </row>
    <row r="3" ht="14.25" customHeight="1">
      <c r="A3" s="2" t="s">
        <v>71</v>
      </c>
      <c r="B3" s="5">
        <v>7.88383588E8</v>
      </c>
      <c r="C3" s="2" t="s">
        <v>72</v>
      </c>
      <c r="D3" s="3">
        <v>250000.0</v>
      </c>
      <c r="E3">
        <v>100000.0</v>
      </c>
      <c r="F3">
        <v>4000.0</v>
      </c>
      <c r="G3">
        <v>580000.0</v>
      </c>
      <c r="H3">
        <v>58000.0</v>
      </c>
      <c r="J3">
        <v>580000.0</v>
      </c>
      <c r="K3">
        <v>88000.0</v>
      </c>
    </row>
    <row r="4" ht="14.25" customHeight="1">
      <c r="A4" s="2" t="s">
        <v>73</v>
      </c>
      <c r="B4" s="5">
        <v>7.72796255E8</v>
      </c>
      <c r="C4" s="2" t="s">
        <v>74</v>
      </c>
      <c r="D4" s="3">
        <v>200000.0</v>
      </c>
      <c r="E4">
        <v>100000.0</v>
      </c>
      <c r="F4">
        <v>4000.0</v>
      </c>
      <c r="G4">
        <v>150000.0</v>
      </c>
      <c r="H4">
        <v>15000.0</v>
      </c>
      <c r="J4">
        <v>150000.0</v>
      </c>
      <c r="K4">
        <v>81000.0</v>
      </c>
    </row>
    <row r="5" ht="14.25" customHeight="1">
      <c r="A5" s="2" t="s">
        <v>75</v>
      </c>
      <c r="B5" s="2" t="s">
        <v>76</v>
      </c>
      <c r="C5" s="2" t="s">
        <v>77</v>
      </c>
      <c r="D5" s="3">
        <v>150000.0</v>
      </c>
      <c r="E5">
        <v>50000.0</v>
      </c>
      <c r="F5">
        <v>4000.0</v>
      </c>
      <c r="K5">
        <v>96000.0</v>
      </c>
    </row>
    <row r="6" ht="14.25" customHeight="1">
      <c r="A6" s="2" t="s">
        <v>78</v>
      </c>
      <c r="B6" s="6">
        <v>7.63543426E8</v>
      </c>
      <c r="C6" s="2" t="s">
        <v>79</v>
      </c>
      <c r="D6" s="3">
        <v>200000.0</v>
      </c>
      <c r="E6">
        <v>50000.0</v>
      </c>
      <c r="F6">
        <v>4000.0</v>
      </c>
      <c r="G6">
        <v>700000.0</v>
      </c>
      <c r="H6">
        <v>70000.0</v>
      </c>
      <c r="J6">
        <v>700000.0</v>
      </c>
      <c r="K6">
        <v>76000.0</v>
      </c>
    </row>
    <row r="7" ht="14.25" customHeight="1">
      <c r="A7" s="2" t="s">
        <v>80</v>
      </c>
      <c r="B7" s="6">
        <v>7.68861889E8</v>
      </c>
      <c r="C7" s="2" t="s">
        <v>81</v>
      </c>
      <c r="D7" s="3">
        <v>230000.0</v>
      </c>
      <c r="E7">
        <v>50000.0</v>
      </c>
      <c r="F7">
        <v>4000.0</v>
      </c>
      <c r="G7">
        <v>530000.0</v>
      </c>
      <c r="H7">
        <v>46500.0</v>
      </c>
      <c r="I7">
        <v>50000.0</v>
      </c>
      <c r="J7">
        <v>480000.0</v>
      </c>
      <c r="K7">
        <v>79000.0</v>
      </c>
    </row>
    <row r="8" ht="14.25" customHeight="1">
      <c r="A8" s="2" t="s">
        <v>82</v>
      </c>
      <c r="B8" s="2" t="s">
        <v>83</v>
      </c>
      <c r="C8" s="2" t="s">
        <v>84</v>
      </c>
      <c r="D8" s="3">
        <v>230000.0</v>
      </c>
      <c r="E8">
        <v>75000.0</v>
      </c>
      <c r="F8">
        <v>4000.0</v>
      </c>
      <c r="G8">
        <v>180000.0</v>
      </c>
      <c r="H8">
        <v>18000.0</v>
      </c>
      <c r="J8">
        <v>180000.0</v>
      </c>
      <c r="K8">
        <v>133000.0</v>
      </c>
    </row>
    <row r="9" ht="14.25" customHeight="1">
      <c r="A9" s="2" t="s">
        <v>85</v>
      </c>
      <c r="B9" s="5">
        <v>7.87481648E8</v>
      </c>
      <c r="C9" s="2" t="s">
        <v>86</v>
      </c>
      <c r="D9" s="3">
        <v>200000.0</v>
      </c>
      <c r="E9">
        <v>150000.0</v>
      </c>
      <c r="G9">
        <v>180000.0</v>
      </c>
      <c r="H9">
        <v>18000.0</v>
      </c>
      <c r="J9">
        <v>180000.0</v>
      </c>
      <c r="K9">
        <v>32000.0</v>
      </c>
    </row>
    <row r="10" ht="14.25" customHeight="1">
      <c r="A10" s="2" t="s">
        <v>87</v>
      </c>
      <c r="B10" s="5">
        <v>7.88134549E8</v>
      </c>
      <c r="C10" s="7" t="s">
        <v>88</v>
      </c>
      <c r="D10" s="3">
        <v>200000.0</v>
      </c>
      <c r="E10">
        <v>50000.0</v>
      </c>
      <c r="F10">
        <v>4000.0</v>
      </c>
      <c r="G10">
        <v>500000.0</v>
      </c>
      <c r="H10">
        <v>50000.0</v>
      </c>
      <c r="J10">
        <v>500000.0</v>
      </c>
      <c r="K10">
        <v>96000.0</v>
      </c>
    </row>
    <row r="11" ht="14.25" customHeight="1">
      <c r="A11" s="2" t="s">
        <v>89</v>
      </c>
      <c r="B11" s="5">
        <v>7.82462736E8</v>
      </c>
      <c r="C11" s="7" t="s">
        <v>90</v>
      </c>
      <c r="D11" s="3">
        <v>200000.0</v>
      </c>
      <c r="E11">
        <v>150000.0</v>
      </c>
      <c r="G11">
        <v>100000.0</v>
      </c>
      <c r="H11">
        <v>5000.0</v>
      </c>
      <c r="J11">
        <v>100000.0</v>
      </c>
      <c r="K11">
        <v>45000.0</v>
      </c>
    </row>
    <row r="12" ht="14.25" customHeight="1">
      <c r="A12" s="2" t="s">
        <v>91</v>
      </c>
      <c r="B12" s="5">
        <v>7.78366202E8</v>
      </c>
      <c r="C12" s="2" t="s">
        <v>92</v>
      </c>
      <c r="D12" s="3">
        <v>200000.0</v>
      </c>
      <c r="E12">
        <v>50000.0</v>
      </c>
      <c r="F12">
        <v>4000.0</v>
      </c>
      <c r="G12">
        <v>385000.0</v>
      </c>
      <c r="H12">
        <v>33500.0</v>
      </c>
      <c r="I12">
        <v>50000.0</v>
      </c>
      <c r="J12">
        <v>335000.0</v>
      </c>
      <c r="K12">
        <v>112500.0</v>
      </c>
    </row>
    <row r="13" ht="14.25" customHeight="1">
      <c r="A13" s="2" t="s">
        <v>93</v>
      </c>
      <c r="B13" s="2">
        <v>7.85516537E8</v>
      </c>
      <c r="C13" s="2" t="s">
        <v>94</v>
      </c>
      <c r="D13" s="3">
        <v>200000.0</v>
      </c>
      <c r="E13">
        <v>50000.0</v>
      </c>
      <c r="G13">
        <v>650000.0</v>
      </c>
      <c r="H13">
        <v>65000.0</v>
      </c>
      <c r="I13">
        <v>50000.0</v>
      </c>
      <c r="J13">
        <v>600000.0</v>
      </c>
      <c r="K13">
        <v>35000.0</v>
      </c>
    </row>
    <row r="14" ht="14.25" customHeight="1">
      <c r="A14" s="2" t="s">
        <v>95</v>
      </c>
      <c r="B14" s="5">
        <v>7.8561492E8</v>
      </c>
      <c r="C14" s="2" t="s">
        <v>96</v>
      </c>
      <c r="D14" s="3">
        <v>220000.0</v>
      </c>
      <c r="E14">
        <v>50000.0</v>
      </c>
      <c r="G14">
        <v>150000.0</v>
      </c>
      <c r="H14">
        <v>8800.0</v>
      </c>
      <c r="J14">
        <v>150000.0</v>
      </c>
      <c r="K14">
        <v>161200.0</v>
      </c>
    </row>
    <row r="15" ht="14.25" customHeight="1">
      <c r="A15" s="2" t="s">
        <v>97</v>
      </c>
      <c r="B15" s="5">
        <v>7.80589399E8</v>
      </c>
      <c r="C15" s="2" t="s">
        <v>98</v>
      </c>
      <c r="D15" s="3">
        <v>300000.0</v>
      </c>
      <c r="E15">
        <v>200000.0</v>
      </c>
      <c r="K15">
        <v>100000.0</v>
      </c>
    </row>
    <row r="16" ht="14.25" customHeight="1">
      <c r="A16" s="2" t="s">
        <v>99</v>
      </c>
      <c r="B16" s="5">
        <v>7.74510171E8</v>
      </c>
      <c r="C16" s="2" t="s">
        <v>100</v>
      </c>
      <c r="D16" s="3">
        <v>400000.0</v>
      </c>
      <c r="E16">
        <v>75000.0</v>
      </c>
      <c r="F16">
        <v>4000.0</v>
      </c>
      <c r="G16">
        <v>800000.0</v>
      </c>
      <c r="H16">
        <v>80000.0</v>
      </c>
      <c r="I16">
        <v>100000.0</v>
      </c>
      <c r="J16">
        <v>700000.0</v>
      </c>
      <c r="K16">
        <v>141000.0</v>
      </c>
    </row>
    <row r="17" ht="14.25" customHeight="1">
      <c r="A17" s="2" t="s">
        <v>101</v>
      </c>
      <c r="B17" s="5">
        <v>7.65353098E8</v>
      </c>
      <c r="C17" s="2" t="s">
        <v>102</v>
      </c>
      <c r="D17" s="3">
        <v>300000.0</v>
      </c>
      <c r="E17">
        <v>50000.0</v>
      </c>
      <c r="F17">
        <v>4000.0</v>
      </c>
      <c r="G17">
        <v>750000.0</v>
      </c>
      <c r="H17">
        <v>75000.0</v>
      </c>
      <c r="I17">
        <v>171000.0</v>
      </c>
      <c r="J17">
        <v>579000.0</v>
      </c>
      <c r="K17">
        <v>0.0</v>
      </c>
    </row>
    <row r="18" ht="14.25" customHeight="1">
      <c r="A18" s="2" t="s">
        <v>103</v>
      </c>
      <c r="B18" s="5">
        <v>7.80119749E8</v>
      </c>
      <c r="C18" s="2" t="s">
        <v>104</v>
      </c>
      <c r="D18" s="3">
        <v>200000.0</v>
      </c>
      <c r="E18">
        <v>50000.0</v>
      </c>
      <c r="G18">
        <v>250000.0</v>
      </c>
      <c r="H18">
        <v>25000.0</v>
      </c>
      <c r="J18">
        <v>250000.0</v>
      </c>
      <c r="K18">
        <v>125000.0</v>
      </c>
    </row>
    <row r="19" ht="14.25" customHeight="1">
      <c r="A19" s="2" t="s">
        <v>105</v>
      </c>
      <c r="B19" s="5">
        <v>7.82462736E8</v>
      </c>
      <c r="C19" s="2" t="s">
        <v>106</v>
      </c>
      <c r="D19" s="3">
        <v>200000.0</v>
      </c>
      <c r="E19">
        <v>175000.0</v>
      </c>
      <c r="K19">
        <v>25000.0</v>
      </c>
    </row>
    <row r="20" ht="14.25" customHeight="1">
      <c r="A20" s="2" t="s">
        <v>107</v>
      </c>
      <c r="B20" s="8">
        <v>7.60048591E8</v>
      </c>
      <c r="C20" s="2" t="s">
        <v>108</v>
      </c>
      <c r="D20" s="3">
        <v>200000.0</v>
      </c>
      <c r="E20">
        <v>75000.0</v>
      </c>
      <c r="G20">
        <v>250000.0</v>
      </c>
      <c r="H20">
        <v>25000.0</v>
      </c>
      <c r="J20">
        <v>250000.0</v>
      </c>
      <c r="K20">
        <v>100000.0</v>
      </c>
    </row>
    <row r="21" ht="14.25" customHeight="1">
      <c r="A21" s="2" t="s">
        <v>109</v>
      </c>
      <c r="B21" s="6">
        <v>7.82782409E8</v>
      </c>
      <c r="C21" s="2" t="s">
        <v>110</v>
      </c>
      <c r="D21" s="3">
        <v>200000.0</v>
      </c>
      <c r="E21">
        <v>50000.0</v>
      </c>
      <c r="G21">
        <v>550000.0</v>
      </c>
      <c r="H21">
        <v>55000.0</v>
      </c>
      <c r="J21">
        <v>550000.0</v>
      </c>
      <c r="K21">
        <v>95000.0</v>
      </c>
    </row>
    <row r="22" ht="14.25" customHeight="1">
      <c r="A22" s="2" t="s">
        <v>111</v>
      </c>
      <c r="B22" s="6">
        <v>7.54688731E8</v>
      </c>
      <c r="C22" s="2" t="s">
        <v>112</v>
      </c>
      <c r="D22" s="3">
        <v>200000.0</v>
      </c>
      <c r="E22">
        <v>50000.0</v>
      </c>
      <c r="G22">
        <v>250000.0</v>
      </c>
      <c r="H22">
        <v>25000.0</v>
      </c>
      <c r="J22">
        <v>250000.0</v>
      </c>
      <c r="K22">
        <v>125000.0</v>
      </c>
    </row>
    <row r="23" ht="14.25" customHeight="1">
      <c r="A23" s="9" t="s">
        <v>113</v>
      </c>
      <c r="B23" s="10">
        <v>7.51590239E8</v>
      </c>
      <c r="C23" s="9" t="s">
        <v>114</v>
      </c>
      <c r="D23" s="3">
        <v>200000.0</v>
      </c>
      <c r="E23">
        <v>150000.0</v>
      </c>
      <c r="G23">
        <v>90000.0</v>
      </c>
      <c r="H23">
        <v>7500.0</v>
      </c>
      <c r="J23">
        <v>90000.0</v>
      </c>
      <c r="K23">
        <v>42500.0</v>
      </c>
    </row>
    <row r="24" ht="14.25" customHeight="1">
      <c r="A24" s="9" t="s">
        <v>58</v>
      </c>
      <c r="B24" s="10"/>
      <c r="C24" s="9" t="s">
        <v>59</v>
      </c>
      <c r="D24" s="3"/>
      <c r="E24">
        <v>300000.0</v>
      </c>
      <c r="G24">
        <v>400000.0</v>
      </c>
      <c r="H24">
        <v>40000.0</v>
      </c>
      <c r="J24">
        <v>400000.0</v>
      </c>
    </row>
    <row r="25" ht="14.25" customHeight="1">
      <c r="A25" t="s">
        <v>60</v>
      </c>
      <c r="D25" s="11"/>
      <c r="E25">
        <v>2000000.0</v>
      </c>
    </row>
    <row r="26" ht="14.25" customHeight="1">
      <c r="A26" s="1" t="s">
        <v>115</v>
      </c>
      <c r="D26" s="15" t="str">
        <f>SUM(D2:D23)</f>
        <v>4,880,000</v>
      </c>
      <c r="E26" s="1" t="str">
        <f t="shared" ref="E26:K26" si="1">SUM(E2:E25)</f>
        <v>4150000</v>
      </c>
      <c r="F26" s="1" t="str">
        <f t="shared" si="1"/>
        <v>44000</v>
      </c>
      <c r="G26" s="1" t="str">
        <f t="shared" si="1"/>
        <v>7895000</v>
      </c>
      <c r="H26" s="1" t="str">
        <f t="shared" si="1"/>
        <v>765300</v>
      </c>
      <c r="I26" s="1" t="str">
        <f t="shared" si="1"/>
        <v>461000</v>
      </c>
      <c r="J26" s="1" t="str">
        <f t="shared" si="1"/>
        <v>7434000</v>
      </c>
      <c r="K26" s="15" t="str">
        <f t="shared" si="1"/>
        <v>1,849,200</v>
      </c>
    </row>
    <row r="27" ht="14.25" customHeight="1"/>
    <row r="28" ht="14.25" customHeight="1"/>
    <row r="29" ht="14.25" customHeight="1">
      <c r="A29" s="1" t="s">
        <v>116</v>
      </c>
    </row>
    <row r="30" ht="14.25" customHeight="1">
      <c r="A30" t="s">
        <v>117</v>
      </c>
      <c r="B30" s="16">
        <v>2150000.0</v>
      </c>
    </row>
    <row r="31" ht="14.25" customHeight="1">
      <c r="A31" t="s">
        <v>118</v>
      </c>
      <c r="B31" s="16">
        <v>44000.0</v>
      </c>
    </row>
    <row r="32" ht="14.25" customHeight="1">
      <c r="A32" t="s">
        <v>119</v>
      </c>
      <c r="B32" s="16">
        <v>765300.0</v>
      </c>
    </row>
    <row r="33" ht="14.25" customHeight="1">
      <c r="A33" t="s">
        <v>8</v>
      </c>
      <c r="B33" s="16">
        <v>461000.0</v>
      </c>
    </row>
    <row r="34" ht="14.25" customHeight="1">
      <c r="A34" s="1" t="s">
        <v>115</v>
      </c>
      <c r="B34" s="15" t="str">
        <f>SUM(B30:B33)</f>
        <v>3,420,300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0.0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LinksUpToDate>false</LinksUpToDate>
  <Application>Kingsoft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2026-01-30T07:20:44Z</dcterms:created>
  <dc:creator>SM-A075F</dc:creator>
  <dcterms:modified xsi:type="dcterms:W3CDTF">2026-03-01T08:58:36Z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18bb65554a6c4764955f61e9815f5d6b</vt:lpwstr>
  </property>
</Properties>
</file>