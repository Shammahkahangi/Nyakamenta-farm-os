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6"/>
  </bookViews>
  <sheets>
    <sheet name="January payments" sheetId="1" r:id="rId1"/>
    <sheet name="February payment " sheetId="2" r:id="rId2"/>
    <sheet name="MARCH PAYMENT" sheetId="3" r:id="rId3"/>
    <sheet name="April salary and sacco " sheetId="4" r:id="rId4"/>
    <sheet name="May salary and Sacco payment " sheetId="5" r:id="rId5"/>
    <sheet name="June salary and Sacco payments " sheetId="6" r:id="rId6"/>
    <sheet name="July salary and Sacco payment " sheetId="7" r:id="rId7"/>
  </sheets>
  <calcPr calcId="114210"/>
</workbook>
</file>

<file path=xl/sharedStrings.xml><?xml version="1.0" encoding="utf-8"?>
<sst xmlns="http://schemas.openxmlformats.org/spreadsheetml/2006/main" uniqueCount="165" count="165">
  <si>
    <r>
      <rPr>
        <sz val="11"/>
        <color rgb="FF000000"/>
        <rFont val="Arial"/>
      </rPr>
      <t xml:space="preserve">Ariho Micheal </t>
    </r>
  </si>
  <si>
    <r>
      <rPr>
        <sz val="11"/>
        <rFont val="Arial"/>
      </rPr>
      <t>Kyarisiima Justus</t>
    </r>
  </si>
  <si>
    <r>
      <rPr>
        <sz val="11"/>
        <color rgb="FF000000"/>
        <rFont val="Arial"/>
      </rPr>
      <t>Kasumbuza Cosmas</t>
    </r>
  </si>
  <si>
    <r>
      <rPr>
        <sz val="11"/>
        <color rgb="FF000000"/>
        <rFont val="Arial"/>
      </rPr>
      <t>Nayebare Prossy</t>
    </r>
  </si>
  <si>
    <r>
      <rPr>
        <sz val="11"/>
        <color rgb="FF000000"/>
        <rFont val="Arial"/>
      </rPr>
      <t xml:space="preserve">Sonia </t>
    </r>
  </si>
  <si>
    <r>
      <rPr>
        <sz val="11"/>
        <color rgb="FF000000"/>
        <rFont val="Arial"/>
      </rPr>
      <t xml:space="preserve">Kazoora Francis </t>
    </r>
  </si>
  <si>
    <r>
      <rPr>
        <sz val="11"/>
        <rFont val="Arial"/>
      </rPr>
      <t xml:space="preserve">Mucunguzi Junior </t>
    </r>
  </si>
  <si>
    <r>
      <rPr>
        <sz val="11"/>
        <color rgb="FF000000"/>
        <rFont val="Arial"/>
      </rPr>
      <t xml:space="preserve">Ainembabazi Queen </t>
    </r>
  </si>
  <si>
    <r>
      <rPr>
        <sz val="11"/>
        <color rgb="FF000000"/>
        <rFont val="Arial"/>
      </rPr>
      <t xml:space="preserve">Kanyesigye immaculate </t>
    </r>
  </si>
  <si>
    <r>
      <rPr>
        <sz val="11"/>
        <color rgb="FF000000"/>
        <rFont val="Arial"/>
      </rPr>
      <t xml:space="preserve">Ainebyona Mebo </t>
    </r>
  </si>
  <si>
    <r>
      <rPr>
        <sz val="11"/>
        <color rgb="FF000000"/>
        <rFont val="Arial"/>
      </rPr>
      <t xml:space="preserve">Mzee Fred Kakombe </t>
    </r>
  </si>
  <si>
    <r>
      <rPr>
        <sz val="11"/>
        <color rgb="FF000000"/>
        <rFont val="Arial"/>
      </rPr>
      <t xml:space="preserve">Jesica Kamuseveni </t>
    </r>
  </si>
  <si>
    <r>
      <rPr>
        <sz val="11"/>
        <color rgb="FF000000"/>
        <rFont val="Arial"/>
      </rPr>
      <t>Mathias Twijukye</t>
    </r>
  </si>
  <si>
    <r>
      <rPr>
        <sz val="11"/>
        <color rgb="FF000000"/>
        <rFont val="Arial"/>
      </rPr>
      <t>Nyangoma Sharon</t>
    </r>
  </si>
  <si>
    <r>
      <rPr>
        <sz val="11"/>
        <color rgb="FF000000"/>
        <rFont val="Arial"/>
      </rPr>
      <t>Rwihura Duncan</t>
    </r>
  </si>
  <si>
    <r>
      <rPr>
        <sz val="11"/>
        <color rgb="FF000000"/>
        <rFont val="Arial"/>
      </rPr>
      <t xml:space="preserve">Nasasira Ainaea </t>
    </r>
  </si>
  <si>
    <r>
      <rPr>
        <sz val="11"/>
        <color rgb="FF000000"/>
        <rFont val="Arial"/>
      </rPr>
      <t xml:space="preserve">Nimusiima Sharon </t>
    </r>
  </si>
  <si>
    <r>
      <rPr>
        <sz val="11"/>
        <color rgb="FF000000"/>
        <rFont val="Arial"/>
      </rPr>
      <t>Mathias Akampurira</t>
    </r>
  </si>
  <si>
    <r>
      <rPr>
        <sz val="11"/>
        <color rgb="FF000000"/>
        <rFont val="Arial"/>
      </rPr>
      <t>Fednand Tumusiime</t>
    </r>
  </si>
  <si>
    <r>
      <rPr>
        <sz val="11"/>
        <color rgb="FF000000"/>
        <rFont val="Arial"/>
      </rPr>
      <t>Simon Kulooba</t>
    </r>
  </si>
  <si>
    <r>
      <rPr>
        <sz val="11"/>
        <color rgb="FF000000"/>
        <rFont val="Arial"/>
      </rPr>
      <t>Frank Begumanya</t>
    </r>
  </si>
  <si>
    <r>
      <rPr>
        <sz val="11"/>
        <rFont val="Arial"/>
      </rPr>
      <t>Alex Muzahura</t>
    </r>
  </si>
  <si>
    <t xml:space="preserve">Jesica Kamuseveni </t>
  </si>
  <si>
    <t>Mathias Twijukye</t>
  </si>
  <si>
    <t>Nyangoma Sharon</t>
  </si>
  <si>
    <t>Rwihura Duncan</t>
  </si>
  <si>
    <t xml:space="preserve">Nasasira Ainaea </t>
  </si>
  <si>
    <t xml:space="preserve">Nimusiima Sharon </t>
  </si>
  <si>
    <t>Mathias Akampurira</t>
  </si>
  <si>
    <t>Fednand Tumusiime</t>
  </si>
  <si>
    <t>Simon Kulooba</t>
  </si>
  <si>
    <t>Frank Begumanya</t>
  </si>
  <si>
    <t>Alex Muzahura</t>
  </si>
  <si>
    <r>
      <rPr>
        <sz val="11"/>
        <color rgb="FF000000"/>
        <rFont val="Arial"/>
      </rPr>
      <t>0770 317612</t>
    </r>
  </si>
  <si>
    <r>
      <rPr>
        <sz val="11"/>
        <color rgb="FF000000"/>
        <rFont val="Arial"/>
      </rPr>
      <t>0761 581225</t>
    </r>
  </si>
  <si>
    <r>
      <rPr>
        <sz val="11"/>
        <color rgb="FF000000"/>
        <rFont val="Arial"/>
      </rPr>
      <t>0775 664273</t>
    </r>
  </si>
  <si>
    <r>
      <rPr>
        <sz val="11"/>
        <color rgb="FF000000"/>
        <rFont val="Arial"/>
      </rPr>
      <t>0770 317612</t>
    </r>
  </si>
  <si>
    <r>
      <rPr>
        <sz val="11"/>
        <color rgb="FF000000"/>
        <rFont val="Arial"/>
      </rPr>
      <t>0761 581225</t>
    </r>
  </si>
  <si>
    <r>
      <rPr>
        <sz val="11"/>
        <color rgb="FF000000"/>
        <rFont val="Arial"/>
      </rPr>
      <t>0775 664273</t>
    </r>
  </si>
  <si>
    <r>
      <rPr>
        <sz val="11"/>
        <color rgb="FF000000"/>
        <rFont val="Arial"/>
      </rPr>
      <t>Askari-Ruhunga</t>
    </r>
  </si>
  <si>
    <r>
      <rPr>
        <sz val="11"/>
        <color rgb="FF000000"/>
        <rFont val="Arial"/>
      </rPr>
      <t>Manager</t>
    </r>
  </si>
  <si>
    <r>
      <rPr>
        <sz val="11"/>
        <color rgb="FF000000"/>
        <rFont val="Arial"/>
      </rPr>
      <t>Askar-Ruburara</t>
    </r>
  </si>
  <si>
    <r>
      <rPr>
        <sz val="11"/>
        <color rgb="FF000000"/>
        <rFont val="Arial"/>
      </rPr>
      <t>a cook Ruhunga</t>
    </r>
  </si>
  <si>
    <r>
      <rPr>
        <sz val="11"/>
        <color rgb="FF000000"/>
        <rFont val="Arial"/>
      </rPr>
      <t>Gardener</t>
    </r>
  </si>
  <si>
    <r>
      <rPr>
        <sz val="11"/>
        <color rgb="FF000000"/>
        <rFont val="Arial"/>
      </rPr>
      <t>Dam inchage</t>
    </r>
  </si>
  <si>
    <r>
      <rPr>
        <sz val="11"/>
        <color rgb="FF000000"/>
        <rFont val="Arial"/>
      </rPr>
      <t>herdsman</t>
    </r>
  </si>
  <si>
    <r>
      <rPr>
        <sz val="11"/>
        <color rgb="FF000000"/>
        <rFont val="Arial"/>
      </rPr>
      <t xml:space="preserve">Gardener </t>
    </r>
  </si>
  <si>
    <r>
      <rPr>
        <sz val="11"/>
        <color rgb="FF000000"/>
        <rFont val="Arial"/>
      </rPr>
      <t xml:space="preserve">Gardener </t>
    </r>
  </si>
  <si>
    <r>
      <rPr>
        <sz val="11"/>
        <color rgb="FF000000"/>
        <rFont val="Arial"/>
      </rPr>
      <t xml:space="preserve">Gardener </t>
    </r>
  </si>
  <si>
    <r>
      <rPr>
        <sz val="11"/>
        <color rgb="FF000000"/>
        <rFont val="Arial"/>
      </rPr>
      <t>Mayonza incharge</t>
    </r>
  </si>
  <si>
    <r>
      <rPr>
        <sz val="11"/>
        <color rgb="FF000000"/>
        <rFont val="Arial"/>
      </rPr>
      <t xml:space="preserve">Gardner </t>
    </r>
  </si>
  <si>
    <r>
      <rPr>
        <sz val="11"/>
        <color rgb="FF000000"/>
        <rFont val="Arial"/>
      </rPr>
      <t>flowers care taker</t>
    </r>
  </si>
  <si>
    <r>
      <rPr>
        <sz val="11"/>
        <color rgb="FF000000"/>
        <rFont val="Arial"/>
      </rPr>
      <t>House caretaker</t>
    </r>
  </si>
  <si>
    <r>
      <rPr>
        <sz val="11"/>
        <color rgb="FF000000"/>
        <rFont val="Arial"/>
      </rPr>
      <t>Driver</t>
    </r>
  </si>
  <si>
    <r>
      <rPr>
        <sz val="11"/>
        <color rgb="FF000000"/>
        <rFont val="Arial"/>
      </rPr>
      <t xml:space="preserve">plumber </t>
    </r>
  </si>
  <si>
    <r>
      <rPr>
        <sz val="11"/>
        <color rgb="FF000000"/>
        <rFont val="Arial"/>
      </rPr>
      <t xml:space="preserve">Gardener </t>
    </r>
  </si>
  <si>
    <r>
      <rPr>
        <sz val="11"/>
        <color rgb="FF000000"/>
        <rFont val="Arial"/>
      </rPr>
      <t xml:space="preserve">Gardener </t>
    </r>
  </si>
  <si>
    <r>
      <rPr>
        <sz val="11"/>
        <color rgb="FF000000"/>
        <rFont val="Arial"/>
      </rPr>
      <t xml:space="preserve">Machine operator </t>
    </r>
  </si>
  <si>
    <r>
      <rPr>
        <sz val="11"/>
        <color rgb="FF000000"/>
        <rFont val="Arial"/>
      </rPr>
      <t xml:space="preserve">Gardener </t>
    </r>
  </si>
  <si>
    <r>
      <rPr>
        <sz val="11"/>
        <color rgb="FF000000"/>
        <rFont val="Arial"/>
      </rPr>
      <t xml:space="preserve">Gardener </t>
    </r>
  </si>
  <si>
    <r>
      <rPr>
        <sz val="11"/>
        <rFont val="Arial"/>
      </rPr>
      <t xml:space="preserve">Banana plantation </t>
    </r>
  </si>
  <si>
    <t xml:space="preserve">Name </t>
  </si>
  <si>
    <t xml:space="preserve">contact </t>
  </si>
  <si>
    <t xml:space="preserve">position </t>
  </si>
  <si>
    <t xml:space="preserve">salary </t>
  </si>
  <si>
    <t xml:space="preserve">saving </t>
  </si>
  <si>
    <t xml:space="preserve">deduction for  books of the  sacco members </t>
  </si>
  <si>
    <t xml:space="preserve">loan  amount </t>
  </si>
  <si>
    <t>interest</t>
  </si>
  <si>
    <t xml:space="preserve">repayments </t>
  </si>
  <si>
    <t xml:space="preserve">loan balance </t>
  </si>
  <si>
    <t xml:space="preserve">Amount  to be paid </t>
  </si>
  <si>
    <t xml:space="preserve">Madam director </t>
  </si>
  <si>
    <t>=</t>
  </si>
  <si>
    <t xml:space="preserve">TOTAL </t>
  </si>
  <si>
    <t>.</t>
  </si>
  <si>
    <t xml:space="preserve">money  for  the  sacco </t>
  </si>
  <si>
    <t xml:space="preserve">        savings </t>
  </si>
  <si>
    <t xml:space="preserve">       deduction for  sacco books</t>
  </si>
  <si>
    <t xml:space="preserve">       interests</t>
  </si>
  <si>
    <t xml:space="preserve">      repayments </t>
  </si>
  <si>
    <t xml:space="preserve">Amount  to be paid as salary </t>
  </si>
  <si>
    <t>kyomugasho jolly</t>
  </si>
  <si>
    <t>manager</t>
  </si>
  <si>
    <t xml:space="preserve">40000 already paid </t>
  </si>
  <si>
    <t xml:space="preserve">money for sacco </t>
  </si>
  <si>
    <t xml:space="preserve">savings </t>
  </si>
  <si>
    <t xml:space="preserve">deduction for sacco books </t>
  </si>
  <si>
    <t>interests</t>
  </si>
  <si>
    <t xml:space="preserve">total </t>
  </si>
  <si>
    <t>k=</t>
  </si>
  <si>
    <t>150000-50000-4000-</t>
  </si>
  <si>
    <t>150000-50000-4000</t>
  </si>
  <si>
    <t>300000-200000</t>
  </si>
  <si>
    <t>NAME</t>
  </si>
  <si>
    <t>CONTACTS</t>
  </si>
  <si>
    <t>SALARY</t>
  </si>
  <si>
    <t xml:space="preserve">SAVINGS </t>
  </si>
  <si>
    <t xml:space="preserve">LOAN </t>
  </si>
  <si>
    <t xml:space="preserve">INTERESTS </t>
  </si>
  <si>
    <t xml:space="preserve">REPAYMENTS </t>
  </si>
  <si>
    <t xml:space="preserve">BALANCE ON LOAN </t>
  </si>
  <si>
    <t xml:space="preserve">TO BE PAID </t>
  </si>
  <si>
    <t>ARUHO MICHEAL</t>
  </si>
  <si>
    <t>KYARISIMA JUSTUS</t>
  </si>
  <si>
    <t>KASHUMBUSHA COSIMA</t>
  </si>
  <si>
    <t>KOMUJUNI SONIYA</t>
  </si>
  <si>
    <t>KAZOORA FRANCES</t>
  </si>
  <si>
    <t>muzahura  alex</t>
  </si>
  <si>
    <t xml:space="preserve">Position </t>
  </si>
  <si>
    <t>-</t>
  </si>
  <si>
    <t>250000-</t>
  </si>
  <si>
    <t>-=D4-E5-</t>
  </si>
  <si>
    <t xml:space="preserve">Sacco money </t>
  </si>
  <si>
    <t xml:space="preserve">Total </t>
  </si>
  <si>
    <t xml:space="preserve">AMOUNT TO BE PAID AS SALARY </t>
  </si>
  <si>
    <t>minus 50,000 because Queen wanted to save 100,000 not 150000</t>
  </si>
  <si>
    <t>Norman</t>
  </si>
  <si>
    <t xml:space="preserve">Elliot </t>
  </si>
  <si>
    <t>Kob</t>
  </si>
  <si>
    <t>gardener</t>
  </si>
  <si>
    <t xml:space="preserve">gardener </t>
  </si>
  <si>
    <t xml:space="preserve">director </t>
  </si>
  <si>
    <t>--</t>
  </si>
  <si>
    <t xml:space="preserve">Frank  manager </t>
  </si>
  <si>
    <t>8743332-2300000</t>
  </si>
  <si>
    <t xml:space="preserve">sacco money </t>
  </si>
  <si>
    <t xml:space="preserve">interests </t>
  </si>
  <si>
    <t xml:space="preserve">Savings </t>
  </si>
  <si>
    <t xml:space="preserve">Loan </t>
  </si>
  <si>
    <t xml:space="preserve">Repayment </t>
  </si>
  <si>
    <t xml:space="preserve">Balance on loan </t>
  </si>
  <si>
    <t xml:space="preserve">Amount to be paid </t>
  </si>
  <si>
    <t>f3-h3</t>
  </si>
  <si>
    <t>f11-h11</t>
  </si>
  <si>
    <t>6080000-5780000</t>
  </si>
  <si>
    <t>+=SUM(E2:E29)</t>
  </si>
  <si>
    <t>+=SUM(G2:G29)</t>
  </si>
  <si>
    <t>+=SUM(H2:H29)</t>
  </si>
  <si>
    <t>jolll</t>
  </si>
  <si>
    <t>jolly</t>
  </si>
  <si>
    <t xml:space="preserve">Sacco </t>
  </si>
  <si>
    <t>madam</t>
  </si>
  <si>
    <t>Total =</t>
  </si>
  <si>
    <t xml:space="preserve">security ruhunga </t>
  </si>
  <si>
    <t>Amos</t>
  </si>
  <si>
    <t>driver</t>
  </si>
  <si>
    <t xml:space="preserve">f19-h19 </t>
  </si>
  <si>
    <t xml:space="preserve">d19-e19-g19-h19 </t>
  </si>
  <si>
    <t>8527700-2000000-85000-330000</t>
  </si>
  <si>
    <t xml:space="preserve">Sacco money for workers </t>
  </si>
  <si>
    <t xml:space="preserve">madam </t>
  </si>
  <si>
    <t xml:space="preserve">jolly </t>
  </si>
  <si>
    <t>-=SUM(D2:D29)</t>
  </si>
  <si>
    <t>Sonia didn't save but paid 50,000</t>
  </si>
  <si>
    <t xml:space="preserve">Kyirisiima saved 50,000 not 100k as it's in his book </t>
  </si>
  <si>
    <t>Pison Ntegamo</t>
  </si>
  <si>
    <t xml:space="preserve">Storekeeper </t>
  </si>
  <si>
    <t>savings</t>
  </si>
  <si>
    <t>loan</t>
  </si>
  <si>
    <t xml:space="preserve">repayment </t>
  </si>
  <si>
    <t>Amount to be paid</t>
  </si>
  <si>
    <t xml:space="preserve">Jolly </t>
  </si>
  <si>
    <t>Jolly (saving)</t>
  </si>
  <si>
    <t>madam (saving)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</si>
</sst>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21">
    <font>
      <name val="Arial"/>
      <sz val="11"/>
    </font>
    <font>
      <name val="Arial"/>
      <b/>
      <sz val="11"/>
      <color rgb="FF0000FF"/>
    </font>
    <font>
      <name val="Arial"/>
      <sz val="11"/>
      <color rgb="FF000000"/>
    </font>
    <font>
      <name val="Arial"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Arial"/>
      <sz val="11"/>
    </font>
    <font>
      <name val="Arial"/>
      <sz val="11"/>
    </font>
    <font>
      <name val="Arial"/>
      <sz val="11"/>
      <color rgb="FF0000FF"/>
    </font>
    <font>
      <name val="Arial"/>
      <b/>
      <sz val="11"/>
      <color rgb="FFFFC000"/>
    </font>
    <font>
      <name val="Arial"/>
      <sz val="11"/>
    </font>
    <font>
      <name val="Arial"/>
      <b/>
      <sz val="11"/>
      <color rgb="FF0000FF"/>
    </font>
    <font>
      <name val="Arial"/>
      <sz val="11"/>
    </font>
    <font>
      <name val="Arial"/>
      <sz val="11"/>
    </font>
    <font>
      <name val="Arial"/>
      <sz val="11"/>
      <color rgb="FFC00000"/>
    </font>
    <font>
      <name val="Arial"/>
      <sz val="11"/>
      <color rgb="FF00B0F0"/>
    </font>
    <font>
      <name val="Arial"/>
      <sz val="11"/>
    </font>
    <font>
      <name val="Arial"/>
      <b/>
      <sz val="11"/>
      <color rgb="FF6600CC"/>
    </font>
    <font>
      <name val="Arial"/>
      <b/>
      <sz val="11"/>
      <color rgb="FF800000"/>
    </font>
    <font>
      <name val="Arial"/>
      <sz val="11"/>
      <color rgb="FF00B0F0"/>
    </font>
    <font>
      <name val="Arial"/>
      <sz val="11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NumberFormat="1" applyFont="1" applyFill="1" applyBorder="1" applyAlignment="1">
      <alignment horizontal="left" vertical="bottom"/>
    </xf>
    <xf numFmtId="0" fontId="3" fillId="2" borderId="0" xfId="0" applyNumberFormat="1" applyFont="1" applyFill="1" applyBorder="1" applyAlignment="1">
      <alignment horizontal="left" vertical="bottom"/>
    </xf>
    <xf numFmtId="3" fontId="4" fillId="2" borderId="0" xfId="0" applyNumberFormat="1" applyFont="1" applyFill="1" applyBorder="1" applyAlignment="1">
      <alignment horizontal="right" vertical="bottom"/>
    </xf>
    <xf numFmtId="0" fontId="5" fillId="2" borderId="0" xfId="0" applyNumberFormat="1" applyFont="1" applyFill="1" applyBorder="1" applyAlignment="1">
      <alignment horizontal="left" vertical="bottom"/>
    </xf>
    <xf numFmtId="0" fontId="2" fillId="2" borderId="0" xfId="0" applyNumberFormat="1" applyFont="1" applyFill="1" applyBorder="1" applyAlignment="1">
      <alignment horizontal="right" vertical="bottom"/>
    </xf>
    <xf numFmtId="0" fontId="3" fillId="2" borderId="0" xfId="0" applyNumberFormat="1" applyFont="1" applyFill="1" applyBorder="1" applyAlignment="1">
      <alignment horizontal="left" vertical="top"/>
    </xf>
    <xf numFmtId="3" fontId="5" fillId="2" borderId="0" xfId="0" applyNumberFormat="1" applyFont="1" applyFill="1" applyBorder="1" applyAlignment="1">
      <alignment horizontal="left" vertical="bottom"/>
    </xf>
    <xf numFmtId="0" fontId="6" fillId="2" borderId="0" xfId="0" applyNumberFormat="1" applyFont="1" applyFill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9" fillId="0" borderId="0" xfId="0" applyNumberFormat="1" applyFont="1">
      <alignment vertical="center"/>
    </xf>
    <xf numFmtId="0" fontId="10" fillId="0" borderId="0" xfId="0" applyNumberFormat="1" applyFont="1">
      <alignment vertical="center"/>
    </xf>
    <xf numFmtId="0" fontId="11" fillId="0" borderId="0" xfId="0" applyNumberFormat="1" applyFont="1">
      <alignment vertical="center"/>
    </xf>
    <xf numFmtId="3" fontId="12" fillId="0" borderId="0" xfId="0" applyNumberFormat="1">
      <alignment vertical="center"/>
    </xf>
    <xf numFmtId="3" fontId="12" fillId="0" borderId="0" xfId="0" applyNumberFormat="1">
      <alignment vertical="center"/>
    </xf>
    <xf numFmtId="3" fontId="12" fillId="0" borderId="0" xfId="0" applyNumberFormat="1">
      <alignment vertical="center"/>
    </xf>
    <xf numFmtId="3" fontId="12" fillId="0" borderId="0" xfId="0" applyNumberFormat="1">
      <alignment vertical="center"/>
    </xf>
    <xf numFmtId="3" fontId="13" fillId="0" borderId="0" xfId="0" applyNumberForma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3" fontId="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3" fontId="20" fillId="0" borderId="0" xfId="0" applyNumberFormat="1">
      <alignment vertical="center"/>
    </xf>
    <xf numFmtId="3" fontId="2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U37"/>
  <sheetViews>
    <sheetView workbookViewId="0" zoomScale="56">
      <selection activeCell="D43" sqref="D43"/>
    </sheetView>
  </sheetViews>
  <sheetFormatPr defaultRowHeight="14.25" defaultColWidth="10"/>
  <cols>
    <col min="1" max="1" customWidth="1" width="19.25" style="0"/>
    <col min="2" max="2" customWidth="1" width="12.191406" style="0"/>
    <col min="3" max="3" customWidth="1" width="15.0625" style="0"/>
    <col min="6" max="6" customWidth="1" width="37.625" style="0"/>
    <col min="7" max="7" customWidth="1" width="15.796875" style="0"/>
    <col min="8" max="8" customWidth="1" width="16.597656" style="0"/>
    <col min="9" max="9" customWidth="1" width="15.296875" style="0"/>
    <col min="10" max="10" customWidth="1" width="14.199219" style="0"/>
    <col min="11" max="11" customWidth="1" width="23.882812" style="0"/>
  </cols>
  <sheetData>
    <row r="1" spans="8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81</v>
      </c>
    </row>
    <row r="2" spans="8:8" ht="17.35">
      <c r="A2" s="2" t="s">
        <v>0</v>
      </c>
      <c r="B2" s="2" t="s">
        <v>36</v>
      </c>
      <c r="C2" s="3" t="s">
        <v>39</v>
      </c>
      <c r="D2" s="4">
        <v>200000.0</v>
      </c>
      <c r="E2">
        <v>50000.0</v>
      </c>
      <c r="G2">
        <v>500000.0</v>
      </c>
      <c r="H2">
        <v>37500.0</v>
      </c>
      <c r="I2">
        <v>50000.0</v>
      </c>
      <c r="J2">
        <v>450000.0</v>
      </c>
      <c r="K2">
        <f>D2-E2-H2-I2</f>
        <v>62500.0</v>
      </c>
    </row>
    <row r="3" spans="8:8" ht="14.95">
      <c r="A3" s="2" t="s">
        <v>1</v>
      </c>
      <c r="B3" s="5">
        <v>7.88383588E8</v>
      </c>
      <c r="C3" s="3" t="s">
        <v>40</v>
      </c>
      <c r="D3" s="4">
        <v>250000.0</v>
      </c>
      <c r="E3">
        <v>100000.0</v>
      </c>
      <c r="G3">
        <v>300000.0</v>
      </c>
      <c r="H3">
        <v>22500.0</v>
      </c>
      <c r="I3">
        <v>20000.0</v>
      </c>
      <c r="J3">
        <v>280000.0</v>
      </c>
      <c r="K3">
        <v>107500.0</v>
      </c>
    </row>
    <row r="4" spans="8:8" ht="14.95">
      <c r="A4" s="2" t="s">
        <v>2</v>
      </c>
      <c r="B4" s="5">
        <v>7.72796255E8</v>
      </c>
      <c r="C4" s="3" t="s">
        <v>41</v>
      </c>
      <c r="D4" s="4">
        <v>200000.0</v>
      </c>
      <c r="E4">
        <v>100000.0</v>
      </c>
      <c r="G4">
        <v>150000.0</v>
      </c>
      <c r="H4">
        <v>13800.0</v>
      </c>
      <c r="J4">
        <v>150000.0</v>
      </c>
      <c r="K4">
        <v>86200.0</v>
      </c>
    </row>
    <row r="5" spans="8:8" ht="15.15">
      <c r="A5" s="2" t="s">
        <v>3</v>
      </c>
      <c r="B5" s="2" t="s">
        <v>37</v>
      </c>
      <c r="C5" s="3" t="s">
        <v>42</v>
      </c>
      <c r="D5" s="4">
        <v>150000.0</v>
      </c>
      <c r="E5">
        <v>50000.0</v>
      </c>
      <c r="K5">
        <v>100000.0</v>
      </c>
    </row>
    <row r="6" spans="8:8" ht="14.95">
      <c r="A6" s="2" t="s">
        <v>4</v>
      </c>
      <c r="B6" s="6">
        <v>7.63543426E8</v>
      </c>
      <c r="C6" s="3" t="s">
        <v>43</v>
      </c>
      <c r="D6" s="4">
        <v>200000.0</v>
      </c>
      <c r="E6">
        <v>50000.0</v>
      </c>
      <c r="G6">
        <v>400000.0</v>
      </c>
      <c r="H6">
        <v>30000.0</v>
      </c>
      <c r="J6">
        <v>400000.0</v>
      </c>
      <c r="K6">
        <v>120000.0</v>
      </c>
    </row>
    <row r="7" spans="8:8" ht="14.95">
      <c r="A7" s="2" t="s">
        <v>5</v>
      </c>
      <c r="B7" s="6">
        <v>7.68861889E8</v>
      </c>
      <c r="C7" s="3" t="s">
        <v>44</v>
      </c>
      <c r="D7" s="4">
        <v>230000.0</v>
      </c>
      <c r="E7">
        <v>50000.0</v>
      </c>
      <c r="G7">
        <v>350000.0</v>
      </c>
      <c r="H7">
        <v>28300.0</v>
      </c>
      <c r="I7">
        <v>50000.0</v>
      </c>
      <c r="J7">
        <v>300000.0</v>
      </c>
      <c r="K7">
        <v>101700.0</v>
      </c>
    </row>
    <row r="8" spans="8:8" ht="14.95">
      <c r="A8" s="2" t="s">
        <v>6</v>
      </c>
      <c r="B8" s="2" t="s">
        <v>38</v>
      </c>
      <c r="C8" s="3" t="s">
        <v>45</v>
      </c>
      <c r="D8" s="4">
        <v>230000.0</v>
      </c>
      <c r="E8">
        <v>75000.0</v>
      </c>
      <c r="G8">
        <v>160000.0</v>
      </c>
      <c r="H8">
        <v>9400.0</v>
      </c>
      <c r="I8">
        <v>30000.0</v>
      </c>
      <c r="J8">
        <v>130000.0</v>
      </c>
      <c r="K8">
        <v>115600.0</v>
      </c>
    </row>
    <row r="9" spans="8:8" ht="14.95">
      <c r="A9" s="2" t="s">
        <v>7</v>
      </c>
      <c r="B9" s="5">
        <v>7.87481648E8</v>
      </c>
      <c r="C9" s="3" t="s">
        <v>46</v>
      </c>
      <c r="D9" s="4">
        <v>200000.0</v>
      </c>
      <c r="E9">
        <v>50000.0</v>
      </c>
      <c r="F9">
        <v>4000.0</v>
      </c>
      <c r="G9">
        <v>200000.0</v>
      </c>
      <c r="H9">
        <v>15000.0</v>
      </c>
      <c r="I9">
        <v>20000.0</v>
      </c>
      <c r="J9">
        <v>180000.0</v>
      </c>
      <c r="K9">
        <v>111000.0</v>
      </c>
    </row>
    <row r="10" spans="8:8" ht="14.95">
      <c r="A10" s="2" t="s">
        <v>8</v>
      </c>
      <c r="B10" s="5">
        <v>7.88134549E8</v>
      </c>
      <c r="C10" s="7" t="s">
        <v>47</v>
      </c>
      <c r="D10" s="4">
        <v>200000.0</v>
      </c>
      <c r="E10">
        <v>50000.0</v>
      </c>
      <c r="G10">
        <v>500000.0</v>
      </c>
      <c r="H10">
        <v>37500.0</v>
      </c>
      <c r="J10">
        <v>500000.0</v>
      </c>
      <c r="K10">
        <v>112500.0</v>
      </c>
    </row>
    <row r="11" spans="8:8" ht="14.95">
      <c r="A11" s="2" t="s">
        <v>9</v>
      </c>
      <c r="B11" s="5">
        <v>7.82462736E8</v>
      </c>
      <c r="C11" s="7" t="s">
        <v>48</v>
      </c>
      <c r="D11" s="4">
        <v>200000.0</v>
      </c>
      <c r="E11">
        <v>150000.0</v>
      </c>
      <c r="F11">
        <v>4000.0</v>
      </c>
      <c r="K11">
        <v>46000.0</v>
      </c>
    </row>
    <row r="12" spans="8:8" ht="14.95">
      <c r="A12" s="2" t="s">
        <v>10</v>
      </c>
      <c r="B12" s="5">
        <v>7.9024746E8</v>
      </c>
      <c r="C12" s="3" t="s">
        <v>49</v>
      </c>
      <c r="D12" s="4">
        <v>200000.0</v>
      </c>
      <c r="E12">
        <v>50000.0</v>
      </c>
      <c r="G12">
        <v>235000.0</v>
      </c>
      <c r="H12">
        <v>17700.0</v>
      </c>
      <c r="J12">
        <v>235000.0</v>
      </c>
      <c r="K12">
        <v>132300.0</v>
      </c>
    </row>
    <row r="13" spans="8:8" ht="14.95">
      <c r="A13" s="2" t="s">
        <v>11</v>
      </c>
      <c r="B13" s="2">
        <v>7.85516537E8</v>
      </c>
      <c r="C13" s="3" t="s">
        <v>50</v>
      </c>
      <c r="D13" s="4">
        <v>200000.0</v>
      </c>
      <c r="E13">
        <v>50000.0</v>
      </c>
      <c r="F13">
        <v>4000.0</v>
      </c>
      <c r="G13">
        <v>400000.0</v>
      </c>
      <c r="H13">
        <v>30000.0</v>
      </c>
      <c r="I13">
        <v>100000.0</v>
      </c>
      <c r="J13">
        <v>300000.0</v>
      </c>
      <c r="K13">
        <v>16000.0</v>
      </c>
    </row>
    <row r="14" spans="8:8" ht="14.95">
      <c r="A14" s="2" t="s">
        <v>12</v>
      </c>
      <c r="B14" s="5">
        <v>7.8561492E8</v>
      </c>
      <c r="C14" s="3" t="s">
        <v>51</v>
      </c>
      <c r="D14" s="4">
        <v>220000.0</v>
      </c>
      <c r="E14">
        <v>50000.0</v>
      </c>
      <c r="F14">
        <v>4000.0</v>
      </c>
      <c r="G14">
        <v>130000.0</v>
      </c>
      <c r="H14">
        <v>7800.0</v>
      </c>
      <c r="I14">
        <v>80000.0</v>
      </c>
      <c r="J14">
        <v>50000.0</v>
      </c>
      <c r="K14">
        <v>78200.0</v>
      </c>
    </row>
    <row r="15" spans="8:8" ht="14.95">
      <c r="A15" s="2" t="s">
        <v>13</v>
      </c>
      <c r="B15" s="5">
        <v>7.80589399E8</v>
      </c>
      <c r="C15" s="3" t="s">
        <v>52</v>
      </c>
      <c r="D15" s="4">
        <v>300000.0</v>
      </c>
      <c r="E15">
        <v>200000.0</v>
      </c>
      <c r="K15">
        <v>100000.0</v>
      </c>
    </row>
    <row r="16" spans="8:8" ht="14.95">
      <c r="A16" s="2" t="s">
        <v>14</v>
      </c>
      <c r="B16" s="5">
        <v>7.74510171E8</v>
      </c>
      <c r="C16" s="3" t="s">
        <v>53</v>
      </c>
      <c r="D16" s="4">
        <v>400000.0</v>
      </c>
      <c r="E16">
        <v>75000.0</v>
      </c>
      <c r="G16">
        <v>700000.0</v>
      </c>
      <c r="H16">
        <v>52500.0</v>
      </c>
      <c r="I16">
        <v>100000.0</v>
      </c>
      <c r="J16">
        <v>600000.0</v>
      </c>
      <c r="K16">
        <v>172500.0</v>
      </c>
    </row>
    <row r="17" spans="8:8" ht="14.95">
      <c r="A17" s="2" t="s">
        <v>15</v>
      </c>
      <c r="B17" s="5">
        <v>7.65353098E8</v>
      </c>
      <c r="C17" s="3" t="s">
        <v>54</v>
      </c>
      <c r="D17" s="4">
        <v>300000.0</v>
      </c>
      <c r="E17">
        <v>150000.0</v>
      </c>
      <c r="G17">
        <v>600000.0</v>
      </c>
      <c r="H17">
        <v>20000.0</v>
      </c>
      <c r="I17">
        <v>100000.0</v>
      </c>
      <c r="J17">
        <v>500000.0</v>
      </c>
      <c r="K17">
        <v>30000.0</v>
      </c>
    </row>
    <row r="18" spans="8:8" ht="14.95">
      <c r="A18" s="2" t="s">
        <v>16</v>
      </c>
      <c r="B18" s="5">
        <v>7.80119749E8</v>
      </c>
      <c r="C18" s="3" t="s">
        <v>55</v>
      </c>
      <c r="D18" s="4">
        <v>200000.0</v>
      </c>
      <c r="E18">
        <v>50000.0</v>
      </c>
      <c r="F18">
        <v>4000.0</v>
      </c>
      <c r="G18">
        <v>200000.0</v>
      </c>
      <c r="H18">
        <v>10000.0</v>
      </c>
      <c r="J18">
        <v>200000.0</v>
      </c>
      <c r="K18">
        <v>136000.0</v>
      </c>
    </row>
    <row r="19" spans="8:8" ht="14.95">
      <c r="A19" s="2" t="s">
        <v>17</v>
      </c>
      <c r="B19" s="5">
        <v>7.82462736E8</v>
      </c>
      <c r="C19" s="3" t="s">
        <v>56</v>
      </c>
      <c r="D19" s="4">
        <v>200000.0</v>
      </c>
      <c r="E19">
        <v>175000.0</v>
      </c>
      <c r="F19">
        <v>4000.0</v>
      </c>
      <c r="K19">
        <v>21000.0</v>
      </c>
    </row>
    <row r="20" spans="8:8" ht="14.95">
      <c r="A20" s="2" t="s">
        <v>18</v>
      </c>
      <c r="B20" s="8">
        <v>7.60048591E8</v>
      </c>
      <c r="C20" s="3" t="s">
        <v>57</v>
      </c>
      <c r="D20" s="4">
        <v>200000.0</v>
      </c>
      <c r="E20">
        <v>50000.0</v>
      </c>
      <c r="F20">
        <v>4000.0</v>
      </c>
      <c r="G20">
        <v>150000.0</v>
      </c>
      <c r="H20">
        <v>11300.0</v>
      </c>
      <c r="J20">
        <v>150000.0</v>
      </c>
      <c r="K20">
        <v>134700.0</v>
      </c>
    </row>
    <row r="21" spans="8:8" ht="14.95">
      <c r="A21" s="2" t="s">
        <v>19</v>
      </c>
      <c r="B21" s="6">
        <v>7.82782409E8</v>
      </c>
      <c r="C21" s="3" t="s">
        <v>58</v>
      </c>
      <c r="D21" s="4">
        <v>200000.0</v>
      </c>
      <c r="E21">
        <v>50000.0</v>
      </c>
      <c r="F21">
        <v>4000.0</v>
      </c>
      <c r="G21">
        <v>400000.0</v>
      </c>
      <c r="H21">
        <v>30000.0</v>
      </c>
      <c r="J21">
        <v>400000.0</v>
      </c>
      <c r="K21">
        <v>116000.0</v>
      </c>
    </row>
    <row r="22" spans="8:8" ht="14.95">
      <c r="A22" s="2" t="s">
        <v>20</v>
      </c>
      <c r="B22" s="6">
        <v>7.54688731E8</v>
      </c>
      <c r="C22" s="3" t="s">
        <v>59</v>
      </c>
      <c r="D22" s="4">
        <v>200000.0</v>
      </c>
      <c r="E22">
        <v>50000.0</v>
      </c>
      <c r="F22">
        <v>4000.0</v>
      </c>
      <c r="G22">
        <v>250000.0</v>
      </c>
      <c r="H22">
        <v>6300.0</v>
      </c>
      <c r="J22">
        <v>250000.0</v>
      </c>
      <c r="K22">
        <v>139700.0</v>
      </c>
    </row>
    <row r="23" spans="8:8" ht="17.1" customHeight="1">
      <c r="A23" s="9" t="s">
        <v>21</v>
      </c>
      <c r="B23" s="10">
        <v>7.51590239E8</v>
      </c>
      <c r="C23" s="11" t="s">
        <v>60</v>
      </c>
      <c r="D23" s="4">
        <v>200000.0</v>
      </c>
      <c r="E23">
        <v>150000.0</v>
      </c>
      <c r="F23">
        <v>4000.0</v>
      </c>
      <c r="G23">
        <v>70000.0</v>
      </c>
      <c r="H23">
        <v>4300.0</v>
      </c>
      <c r="J23">
        <v>70000.0</v>
      </c>
      <c r="K23">
        <v>41700.0</v>
      </c>
    </row>
    <row r="24" spans="8:8" ht="15.55" customFormat="1">
      <c r="A24" s="9" t="s">
        <v>82</v>
      </c>
      <c r="B24" s="10"/>
      <c r="C24" s="11" t="s">
        <v>83</v>
      </c>
      <c r="D24" s="4"/>
      <c r="E24">
        <v>300000.0</v>
      </c>
      <c r="F24"/>
      <c r="G24"/>
      <c r="H24"/>
      <c r="J24"/>
      <c r="K24"/>
    </row>
    <row r="25" spans="8:8" ht="15.55">
      <c r="A25" t="s">
        <v>72</v>
      </c>
      <c r="D25" s="12"/>
      <c r="E25">
        <v>2000000.0</v>
      </c>
    </row>
    <row r="26" spans="8:8" ht="15.55">
      <c r="A26" s="1" t="s">
        <v>74</v>
      </c>
      <c r="D26" s="13">
        <f>SUM(D2:D25)</f>
        <v>4880000.0</v>
      </c>
      <c r="E26" s="13">
        <f>SUM(E2:E25)</f>
        <v>4125000.0</v>
      </c>
      <c r="F26" s="13">
        <f>SUM(F2:F25)</f>
        <v>40000.0</v>
      </c>
      <c r="G26" s="13">
        <f>SUM(G2:G25)</f>
        <v>5695000.0</v>
      </c>
      <c r="H26" s="13">
        <f>SUM(H2:H25)</f>
        <v>383900.0</v>
      </c>
      <c r="I26" s="13">
        <f>SUM(I2:I25)</f>
        <v>550000.0</v>
      </c>
      <c r="J26" s="13">
        <f>SUM(J2:J25)</f>
        <v>5145000.0</v>
      </c>
      <c r="K26" s="13">
        <f>SUM(K2:K25)</f>
        <v>2081100.0</v>
      </c>
    </row>
    <row r="29" spans="8:8">
      <c r="A29" s="14" t="s">
        <v>76</v>
      </c>
    </row>
    <row r="30" spans="8:8" ht="15.55">
      <c r="A30" t="s">
        <v>77</v>
      </c>
      <c r="B30">
        <v>4125000.0</v>
      </c>
      <c r="E30" t="s">
        <v>75</v>
      </c>
    </row>
    <row r="31" spans="8:8" ht="15.4">
      <c r="A31" t="s">
        <v>78</v>
      </c>
      <c r="B31">
        <v>40000.0</v>
      </c>
    </row>
    <row r="32" spans="8:8" ht="15.4">
      <c r="A32" t="s">
        <v>79</v>
      </c>
      <c r="B32">
        <v>383900.0</v>
      </c>
    </row>
    <row r="33" spans="8:8" ht="15.4">
      <c r="A33" t="s">
        <v>80</v>
      </c>
      <c r="B33" s="15">
        <v>550000.0</v>
      </c>
    </row>
    <row r="34" spans="8:8" ht="15.4">
      <c r="A34" s="16" t="s">
        <v>74</v>
      </c>
      <c r="B34" s="16">
        <f>SUM(B30:B33)</f>
        <v>5098900.0</v>
      </c>
    </row>
    <row r="37" spans="8:8" ht="15.55">
      <c r="F37">
        <v>3.0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K34"/>
  <sheetViews>
    <sheetView workbookViewId="0" topLeftCell="C1" zoomScale="75">
      <selection activeCell="M30" sqref="M30"/>
    </sheetView>
  </sheetViews>
  <sheetFormatPr defaultRowHeight="14.25" defaultColWidth="10"/>
  <cols>
    <col min="1" max="1" customWidth="1" width="26.085938" style="0"/>
    <col min="2" max="2" customWidth="1" width="17.871094" style="0"/>
    <col min="3" max="3" customWidth="1" width="17.0" style="0"/>
    <col min="5" max="5" customWidth="1" width="13.691406" style="0"/>
    <col min="6" max="6" customWidth="1" width="37.0" style="0"/>
    <col min="7" max="7" customWidth="1" width="12.25" style="0"/>
    <col min="8" max="8" customWidth="1" width="17.75" style="0"/>
    <col min="9" max="9" customWidth="1" width="13.441406" style="0"/>
    <col min="10" max="10" customWidth="1" width="14.0" style="0"/>
    <col min="11" max="11" customWidth="1" width="23.621094" style="0"/>
  </cols>
  <sheetData>
    <row r="1" spans="8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81</v>
      </c>
    </row>
    <row r="2" spans="8:8" ht="14.8">
      <c r="A2" s="2" t="s">
        <v>0</v>
      </c>
      <c r="B2" s="2" t="s">
        <v>36</v>
      </c>
      <c r="C2" s="3" t="s">
        <v>39</v>
      </c>
      <c r="D2" s="4">
        <v>200000.0</v>
      </c>
      <c r="E2">
        <v>50000.0</v>
      </c>
      <c r="F2">
        <v>4000.0</v>
      </c>
      <c r="G2">
        <v>450000.0</v>
      </c>
      <c r="H2">
        <v>45000.0</v>
      </c>
      <c r="I2">
        <v>40000.0</v>
      </c>
      <c r="J2">
        <v>410000.0</v>
      </c>
      <c r="K2">
        <f>D2-E2-F2-H2-I2</f>
        <v>61000.0</v>
      </c>
    </row>
    <row r="3" spans="8:8" ht="15.05">
      <c r="A3" s="2" t="s">
        <v>1</v>
      </c>
      <c r="B3" s="5">
        <v>7.88383588E8</v>
      </c>
      <c r="C3" s="3" t="s">
        <v>40</v>
      </c>
      <c r="D3" s="4">
        <v>250000.0</v>
      </c>
      <c r="E3">
        <v>100000.0</v>
      </c>
      <c r="F3">
        <v>4000.0</v>
      </c>
      <c r="G3">
        <v>580000.0</v>
      </c>
      <c r="H3">
        <v>58000.0</v>
      </c>
      <c r="J3">
        <v>580000.0</v>
      </c>
      <c r="K3">
        <f>250000-100000-4000-58000</f>
        <v>88000.0</v>
      </c>
    </row>
    <row r="4" spans="8:8" ht="15.05">
      <c r="A4" s="2" t="s">
        <v>2</v>
      </c>
      <c r="B4" s="5">
        <v>7.72796255E8</v>
      </c>
      <c r="C4" s="3" t="s">
        <v>41</v>
      </c>
      <c r="D4" s="4">
        <v>200000.0</v>
      </c>
      <c r="E4">
        <v>100000.0</v>
      </c>
      <c r="F4">
        <v>4000.0</v>
      </c>
      <c r="G4">
        <v>150000.0</v>
      </c>
      <c r="H4">
        <v>15000.0</v>
      </c>
      <c r="J4">
        <v>150000.0</v>
      </c>
      <c r="K4">
        <f>200000-100000-4000-15000</f>
        <v>81000.0</v>
      </c>
    </row>
    <row r="5" spans="8:8" ht="15.05">
      <c r="A5" s="2" t="s">
        <v>3</v>
      </c>
      <c r="B5" s="2" t="s">
        <v>37</v>
      </c>
      <c r="C5" s="3" t="s">
        <v>42</v>
      </c>
      <c r="D5" s="4">
        <v>150000.0</v>
      </c>
      <c r="E5">
        <v>50000.0</v>
      </c>
      <c r="F5">
        <v>4000.0</v>
      </c>
      <c r="G5"/>
      <c r="H5"/>
      <c r="K5">
        <f>150000-50000-4000</f>
        <v>96000.0</v>
      </c>
    </row>
    <row r="6" spans="8:8" ht="15.05">
      <c r="A6" s="2" t="s">
        <v>4</v>
      </c>
      <c r="B6" s="6">
        <v>7.63543426E8</v>
      </c>
      <c r="C6" s="3" t="s">
        <v>43</v>
      </c>
      <c r="D6" s="4">
        <v>200000.0</v>
      </c>
      <c r="E6">
        <v>50000.0</v>
      </c>
      <c r="F6">
        <v>4000.0</v>
      </c>
      <c r="G6">
        <v>700000.0</v>
      </c>
      <c r="H6">
        <v>70000.0</v>
      </c>
      <c r="J6">
        <v>700000.0</v>
      </c>
      <c r="K6">
        <f>200000-50000-4000-70000</f>
        <v>76000.0</v>
      </c>
    </row>
    <row r="7" spans="8:8" ht="15.05">
      <c r="A7" s="2" t="s">
        <v>5</v>
      </c>
      <c r="B7" s="6">
        <v>7.68861889E8</v>
      </c>
      <c r="C7" s="3" t="s">
        <v>44</v>
      </c>
      <c r="D7" s="4">
        <v>230000.0</v>
      </c>
      <c r="E7">
        <v>50000.0</v>
      </c>
      <c r="F7">
        <v>4000.0</v>
      </c>
      <c r="G7">
        <v>530000.0</v>
      </c>
      <c r="H7">
        <v>46500.0</v>
      </c>
      <c r="I7">
        <v>50000.0</v>
      </c>
      <c r="J7">
        <v>480000.0</v>
      </c>
      <c r="K7">
        <f>230000-50000-4000-46500-50000</f>
        <v>79500.0</v>
      </c>
    </row>
    <row r="8" spans="8:8" ht="15.05">
      <c r="A8" s="2" t="s">
        <v>6</v>
      </c>
      <c r="B8" s="2" t="s">
        <v>38</v>
      </c>
      <c r="C8" s="3" t="s">
        <v>45</v>
      </c>
      <c r="D8" s="4">
        <v>230000.0</v>
      </c>
      <c r="E8">
        <v>75000.0</v>
      </c>
      <c r="F8">
        <v>4000.0</v>
      </c>
      <c r="G8">
        <v>180000.0</v>
      </c>
      <c r="H8">
        <v>18000.0</v>
      </c>
      <c r="J8">
        <v>180000.0</v>
      </c>
      <c r="K8">
        <f>230000-75000-4000-18000</f>
        <v>133000.0</v>
      </c>
    </row>
    <row r="9" spans="8:8" ht="15.05">
      <c r="A9" s="2" t="s">
        <v>7</v>
      </c>
      <c r="B9" s="5">
        <v>7.87481648E8</v>
      </c>
      <c r="C9" s="3" t="s">
        <v>46</v>
      </c>
      <c r="D9" s="4">
        <v>200000.0</v>
      </c>
      <c r="E9">
        <v>150000.0</v>
      </c>
      <c r="G9">
        <v>180000.0</v>
      </c>
      <c r="H9">
        <v>18000.0</v>
      </c>
      <c r="J9">
        <v>180000.0</v>
      </c>
      <c r="K9">
        <f>200000-150000-18000</f>
        <v>32000.0</v>
      </c>
    </row>
    <row r="10" spans="8:8" ht="15.05">
      <c r="A10" s="2" t="s">
        <v>8</v>
      </c>
      <c r="B10" s="5">
        <v>7.88134549E8</v>
      </c>
      <c r="C10" s="7" t="s">
        <v>47</v>
      </c>
      <c r="D10" s="4">
        <v>200000.0</v>
      </c>
      <c r="E10">
        <v>50000.0</v>
      </c>
      <c r="F10">
        <v>4000.0</v>
      </c>
      <c r="G10">
        <v>500000.0</v>
      </c>
      <c r="H10">
        <v>50000.0</v>
      </c>
      <c r="J10">
        <v>500000.0</v>
      </c>
      <c r="K10">
        <f>200000-50000-4000-50000</f>
        <v>96000.0</v>
      </c>
    </row>
    <row r="11" spans="8:8" ht="15.05">
      <c r="A11" s="2" t="s">
        <v>9</v>
      </c>
      <c r="B11" s="5">
        <v>7.82462736E8</v>
      </c>
      <c r="C11" s="7" t="s">
        <v>48</v>
      </c>
      <c r="D11" s="4">
        <v>200000.0</v>
      </c>
      <c r="E11">
        <v>150000.0</v>
      </c>
      <c r="G11">
        <v>100000.0</v>
      </c>
      <c r="H11">
        <v>5000.0</v>
      </c>
      <c r="J11">
        <v>100000.0</v>
      </c>
      <c r="K11">
        <f>200000-150000-5000</f>
        <v>45000.0</v>
      </c>
    </row>
    <row r="12" spans="8:8" ht="15.05">
      <c r="A12" s="2" t="s">
        <v>10</v>
      </c>
      <c r="B12" s="5">
        <v>7.78366202E8</v>
      </c>
      <c r="C12" s="3" t="s">
        <v>49</v>
      </c>
      <c r="D12" s="4">
        <v>200000.0</v>
      </c>
      <c r="E12">
        <v>50000.0</v>
      </c>
      <c r="F12">
        <v>4000.0</v>
      </c>
      <c r="G12">
        <v>385000.0</v>
      </c>
      <c r="H12">
        <v>33500.0</v>
      </c>
      <c r="I12">
        <v>50000.0</v>
      </c>
      <c r="J12">
        <v>335000.0</v>
      </c>
      <c r="K12">
        <f>200000-50000-4000-33500-50000</f>
        <v>62500.0</v>
      </c>
    </row>
    <row r="13" spans="8:8" ht="15.05">
      <c r="A13" s="2" t="s">
        <v>11</v>
      </c>
      <c r="B13" s="2">
        <v>7.85516537E8</v>
      </c>
      <c r="C13" s="3" t="s">
        <v>50</v>
      </c>
      <c r="D13" s="4">
        <v>200000.0</v>
      </c>
      <c r="E13">
        <v>50000.0</v>
      </c>
      <c r="G13">
        <v>650000.0</v>
      </c>
      <c r="H13">
        <v>65000.0</v>
      </c>
      <c r="I13">
        <v>50000.0</v>
      </c>
      <c r="J13">
        <v>600000.0</v>
      </c>
      <c r="K13">
        <f>200000-50000-65000-50000</f>
        <v>35000.0</v>
      </c>
    </row>
    <row r="14" spans="8:8" ht="15.05">
      <c r="A14" s="2" t="s">
        <v>12</v>
      </c>
      <c r="B14" s="5">
        <v>7.8561492E8</v>
      </c>
      <c r="C14" s="3" t="s">
        <v>51</v>
      </c>
      <c r="D14" s="4">
        <v>220000.0</v>
      </c>
      <c r="E14">
        <v>50000.0</v>
      </c>
      <c r="G14">
        <v>150000.0</v>
      </c>
      <c r="H14">
        <v>8800.0</v>
      </c>
      <c r="J14">
        <v>150000.0</v>
      </c>
      <c r="K14">
        <f>220000-50000-8800</f>
        <v>161200.0</v>
      </c>
    </row>
    <row r="15" spans="8:8" ht="15.05">
      <c r="A15" s="2" t="s">
        <v>13</v>
      </c>
      <c r="B15" s="5">
        <v>7.80589399E8</v>
      </c>
      <c r="C15" s="3" t="s">
        <v>52</v>
      </c>
      <c r="D15" s="4">
        <v>300000.0</v>
      </c>
      <c r="E15">
        <v>200000.0</v>
      </c>
      <c r="K15">
        <f>300000-200000</f>
        <v>100000.0</v>
      </c>
    </row>
    <row r="16" spans="8:8" ht="15.05">
      <c r="A16" s="2" t="s">
        <v>14</v>
      </c>
      <c r="B16" s="5">
        <v>7.74510171E8</v>
      </c>
      <c r="C16" s="3" t="s">
        <v>53</v>
      </c>
      <c r="D16" s="4">
        <v>400000.0</v>
      </c>
      <c r="E16">
        <v>75000.0</v>
      </c>
      <c r="F16">
        <v>4000.0</v>
      </c>
      <c r="G16">
        <v>800000.0</v>
      </c>
      <c r="H16">
        <v>80000.0</v>
      </c>
      <c r="I16">
        <v>100000.0</v>
      </c>
      <c r="J16">
        <v>700000.0</v>
      </c>
      <c r="K16">
        <f>400000-75000-4000-80000-100000</f>
        <v>141000.0</v>
      </c>
    </row>
    <row r="17" spans="8:8" ht="15.05">
      <c r="A17" s="2" t="s">
        <v>15</v>
      </c>
      <c r="B17" s="5">
        <v>7.65353098E8</v>
      </c>
      <c r="C17" s="3" t="s">
        <v>54</v>
      </c>
      <c r="D17" s="4">
        <v>300000.0</v>
      </c>
      <c r="E17">
        <v>50000.0</v>
      </c>
      <c r="F17">
        <v>4000.0</v>
      </c>
      <c r="G17">
        <v>750000.0</v>
      </c>
      <c r="H17">
        <v>75000.0</v>
      </c>
      <c r="I17">
        <v>171000.0</v>
      </c>
      <c r="J17">
        <v>579000.0</v>
      </c>
      <c r="K17">
        <f>300000-50000-4000-75000-171000</f>
        <v>0.0</v>
      </c>
    </row>
    <row r="18" spans="8:8" ht="15.05">
      <c r="A18" s="2" t="s">
        <v>16</v>
      </c>
      <c r="B18" s="5">
        <v>7.80119749E8</v>
      </c>
      <c r="C18" s="3" t="s">
        <v>55</v>
      </c>
      <c r="D18" s="4">
        <v>200000.0</v>
      </c>
      <c r="E18">
        <v>50000.0</v>
      </c>
      <c r="G18">
        <v>250000.0</v>
      </c>
      <c r="H18">
        <v>25000.0</v>
      </c>
      <c r="J18">
        <v>250000.0</v>
      </c>
      <c r="K18">
        <f>200000-50000-25000</f>
        <v>125000.0</v>
      </c>
    </row>
    <row r="19" spans="8:8" ht="15.05">
      <c r="A19" s="2" t="s">
        <v>17</v>
      </c>
      <c r="B19" s="5">
        <v>7.82462736E8</v>
      </c>
      <c r="C19" s="3" t="s">
        <v>56</v>
      </c>
      <c r="D19" s="4">
        <v>200000.0</v>
      </c>
      <c r="E19">
        <v>175000.0</v>
      </c>
      <c r="K19">
        <f>200000-175000</f>
        <v>25000.0</v>
      </c>
    </row>
    <row r="20" spans="8:8" ht="15.05">
      <c r="A20" s="2" t="s">
        <v>18</v>
      </c>
      <c r="B20" s="8">
        <v>7.60048591E8</v>
      </c>
      <c r="C20" s="3" t="s">
        <v>57</v>
      </c>
      <c r="D20" s="4">
        <v>200000.0</v>
      </c>
      <c r="E20">
        <v>75000.0</v>
      </c>
      <c r="G20">
        <v>250000.0</v>
      </c>
      <c r="H20">
        <v>25000.0</v>
      </c>
      <c r="J20">
        <v>250000.0</v>
      </c>
      <c r="K20">
        <f>200000-75000-25000</f>
        <v>100000.0</v>
      </c>
    </row>
    <row r="21" spans="8:8" ht="15.05">
      <c r="A21" s="2" t="s">
        <v>19</v>
      </c>
      <c r="B21" s="6">
        <v>7.82782409E8</v>
      </c>
      <c r="C21" s="3" t="s">
        <v>58</v>
      </c>
      <c r="D21" s="4">
        <v>200000.0</v>
      </c>
      <c r="E21">
        <v>50000.0</v>
      </c>
      <c r="G21">
        <v>550000.0</v>
      </c>
      <c r="H21">
        <v>55000.0</v>
      </c>
      <c r="J21">
        <v>550000.0</v>
      </c>
      <c r="K21">
        <f>200000-50000-55000</f>
        <v>95000.0</v>
      </c>
    </row>
    <row r="22" spans="8:8" ht="15.05">
      <c r="A22" s="2" t="s">
        <v>20</v>
      </c>
      <c r="B22" s="6">
        <v>7.54688731E8</v>
      </c>
      <c r="C22" s="3" t="s">
        <v>59</v>
      </c>
      <c r="D22" s="4">
        <v>200000.0</v>
      </c>
      <c r="E22">
        <v>50000.0</v>
      </c>
      <c r="G22">
        <v>250000.0</v>
      </c>
      <c r="H22">
        <v>25000.0</v>
      </c>
      <c r="J22">
        <v>250000.0</v>
      </c>
      <c r="K22">
        <f>200000-50000-25000</f>
        <v>125000.0</v>
      </c>
    </row>
    <row r="23" spans="8:8" ht="15.05">
      <c r="A23" s="9" t="s">
        <v>108</v>
      </c>
      <c r="B23" s="10">
        <v>7.51590239E8</v>
      </c>
      <c r="C23" s="11" t="s">
        <v>60</v>
      </c>
      <c r="D23" s="4">
        <v>200000.0</v>
      </c>
      <c r="E23">
        <v>150000.0</v>
      </c>
      <c r="G23">
        <v>90000.0</v>
      </c>
      <c r="H23">
        <v>7500.0</v>
      </c>
      <c r="J23">
        <v>90000.0</v>
      </c>
      <c r="K23">
        <f>200000-150000-7500</f>
        <v>42500.0</v>
      </c>
    </row>
    <row r="24" spans="8:8" ht="14.8">
      <c r="A24" s="9" t="s">
        <v>82</v>
      </c>
      <c r="B24" s="10"/>
      <c r="C24" s="11" t="s">
        <v>83</v>
      </c>
      <c r="D24" s="4"/>
      <c r="E24">
        <v>300000.0</v>
      </c>
      <c r="G24">
        <v>400000.0</v>
      </c>
      <c r="H24">
        <v>40000.0</v>
      </c>
      <c r="J24">
        <v>400000.0</v>
      </c>
    </row>
    <row r="25" spans="8:8" ht="14.8">
      <c r="A25" t="s">
        <v>72</v>
      </c>
      <c r="D25" s="12"/>
      <c r="E25">
        <v>2000000.0</v>
      </c>
    </row>
    <row r="26" spans="8:8" ht="15.05">
      <c r="A26" s="1" t="s">
        <v>89</v>
      </c>
      <c r="D26" s="1">
        <f>SUM(D2:D23)</f>
        <v>4880000.0</v>
      </c>
      <c r="E26" s="1">
        <f>SUM(E2:E25)</f>
        <v>4150000.0</v>
      </c>
      <c r="F26" s="1">
        <f>SUM(F2:F25)</f>
        <v>44000.0</v>
      </c>
      <c r="G26" s="1">
        <f>SUM(G2:G25)</f>
        <v>7895000.0</v>
      </c>
      <c r="H26" s="1">
        <f>SUM(H2:H25)</f>
        <v>765300.0</v>
      </c>
      <c r="I26" s="1">
        <f>SUM(I2:I25)</f>
        <v>461000.0</v>
      </c>
      <c r="J26" s="1">
        <f>SUM(J2:J25)</f>
        <v>7434000.0</v>
      </c>
      <c r="K26" s="1">
        <f>SUM(K2:K25)</f>
        <v>1799700.0</v>
      </c>
    </row>
    <row r="29" spans="8:8">
      <c r="A29" s="1" t="s">
        <v>85</v>
      </c>
    </row>
    <row r="30" spans="8:8" ht="15.05">
      <c r="A30" t="s">
        <v>86</v>
      </c>
      <c r="B30" s="17">
        <v>2150000.0</v>
      </c>
    </row>
    <row r="31" spans="8:8" ht="15.05">
      <c r="A31" t="s">
        <v>87</v>
      </c>
      <c r="B31" s="18">
        <v>44000.0</v>
      </c>
    </row>
    <row r="32" spans="8:8" ht="15.05">
      <c r="A32" t="s">
        <v>88</v>
      </c>
      <c r="B32" s="19">
        <v>765300.0</v>
      </c>
    </row>
    <row r="33" spans="8:8" ht="15.05">
      <c r="A33" t="s">
        <v>69</v>
      </c>
      <c r="B33" s="20">
        <v>461000.0</v>
      </c>
    </row>
    <row r="34" spans="8:8" ht="15.05">
      <c r="A34" s="1" t="s">
        <v>89</v>
      </c>
      <c r="B34" s="1">
        <f>SUM(B30:B33)</f>
        <v>3420300.0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Z42"/>
  <sheetViews>
    <sheetView workbookViewId="0" topLeftCell="B1" zoomScale="68">
      <selection activeCell="B42" sqref="B42"/>
    </sheetView>
  </sheetViews>
  <sheetFormatPr defaultRowHeight="14.25" defaultColWidth="10"/>
  <cols>
    <col min="1" max="1" customWidth="1" width="24.191406" style="0"/>
    <col min="2" max="2" customWidth="1" width="18.191406" style="0"/>
    <col min="3" max="3" customWidth="1" bestFit="1" width="18.191406" style="0"/>
    <col min="8" max="8" customWidth="1" width="13.871094" style="0"/>
    <col min="9" max="9" customWidth="1" width="18.5" style="0"/>
    <col min="10" max="10" customWidth="1" width="28.261719" style="0"/>
  </cols>
  <sheetData>
    <row r="1" spans="8:8">
      <c r="A1" s="1" t="s">
        <v>94</v>
      </c>
      <c r="B1" s="1" t="s">
        <v>95</v>
      </c>
      <c r="C1" s="1" t="s">
        <v>109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115</v>
      </c>
    </row>
    <row r="2" spans="8:8" ht="14.95">
      <c r="A2" s="2" t="s">
        <v>0</v>
      </c>
      <c r="B2" s="2" t="s">
        <v>36</v>
      </c>
      <c r="C2" s="3" t="s">
        <v>39</v>
      </c>
      <c r="D2" s="4">
        <v>200000.0</v>
      </c>
      <c r="E2">
        <v>50000.0</v>
      </c>
      <c r="F2">
        <v>590000.0</v>
      </c>
      <c r="G2">
        <v>50600.0</v>
      </c>
      <c r="H2">
        <v>50000.0</v>
      </c>
      <c r="I2">
        <v>540000.0</v>
      </c>
      <c r="J2">
        <f>D2-E2-G2-H2</f>
        <v>49400.0</v>
      </c>
    </row>
    <row r="3" spans="8:8" ht="14.95">
      <c r="A3" s="2" t="s">
        <v>1</v>
      </c>
      <c r="B3" s="5">
        <v>7.88383588E8</v>
      </c>
      <c r="C3" s="3" t="s">
        <v>40</v>
      </c>
      <c r="D3" s="4">
        <v>250000.0</v>
      </c>
      <c r="E3">
        <v>100000.0</v>
      </c>
      <c r="F3">
        <v>700000.0</v>
      </c>
      <c r="G3">
        <v>66000.0</v>
      </c>
      <c r="I3">
        <v>700000.0</v>
      </c>
      <c r="J3">
        <f>D3-E3-G3</f>
        <v>84000.0</v>
      </c>
    </row>
    <row r="4" spans="8:8" ht="15.05">
      <c r="A4" s="2" t="s">
        <v>2</v>
      </c>
      <c r="B4" s="5">
        <v>7.72796255E8</v>
      </c>
      <c r="C4" s="3" t="s">
        <v>41</v>
      </c>
      <c r="D4" s="4">
        <v>200000.0</v>
      </c>
      <c r="E4">
        <v>100000.0</v>
      </c>
      <c r="F4">
        <v>250000.0</v>
      </c>
      <c r="G4">
        <v>25000.0</v>
      </c>
      <c r="I4">
        <v>250000.0</v>
      </c>
      <c r="J4">
        <f>D4-E4-G4</f>
        <v>75000.0</v>
      </c>
    </row>
    <row r="5" spans="8:8" ht="15.05">
      <c r="A5" s="2" t="s">
        <v>3</v>
      </c>
      <c r="B5" s="2" t="s">
        <v>37</v>
      </c>
      <c r="C5" s="3" t="s">
        <v>42</v>
      </c>
      <c r="D5" s="4">
        <v>150000.0</v>
      </c>
      <c r="E5">
        <v>50000.0</v>
      </c>
      <c r="J5">
        <f>D5-E5</f>
        <v>100000.0</v>
      </c>
    </row>
    <row r="6" spans="8:8" ht="15.05">
      <c r="A6" s="2" t="s">
        <v>4</v>
      </c>
      <c r="B6" s="6">
        <v>7.63543426E8</v>
      </c>
      <c r="C6" s="3" t="s">
        <v>43</v>
      </c>
      <c r="D6" s="4">
        <v>200000.0</v>
      </c>
      <c r="E6">
        <v>50000.0</v>
      </c>
      <c r="F6">
        <v>700000.0</v>
      </c>
      <c r="G6">
        <v>70000.0</v>
      </c>
      <c r="I6">
        <v>700000.0</v>
      </c>
      <c r="J6">
        <f>D6-E6-G6</f>
        <v>80000.0</v>
      </c>
    </row>
    <row r="7" spans="8:8" ht="15.05">
      <c r="A7" s="2" t="s">
        <v>5</v>
      </c>
      <c r="B7" s="6">
        <v>7.68861889E8</v>
      </c>
      <c r="C7" s="3" t="s">
        <v>44</v>
      </c>
      <c r="D7" s="4">
        <v>230000.0</v>
      </c>
      <c r="F7">
        <v>590000.0</v>
      </c>
      <c r="G7">
        <v>58300.0</v>
      </c>
      <c r="H7">
        <v>50000.0</v>
      </c>
      <c r="I7">
        <v>540000.0</v>
      </c>
      <c r="J7">
        <f>D7-G7-H7</f>
        <v>121700.0</v>
      </c>
    </row>
    <row r="8" spans="8:8" ht="15.05">
      <c r="A8" s="2" t="s">
        <v>6</v>
      </c>
      <c r="B8" s="2" t="s">
        <v>38</v>
      </c>
      <c r="C8" s="3" t="s">
        <v>45</v>
      </c>
      <c r="D8" s="4">
        <v>230000.0</v>
      </c>
      <c r="E8">
        <v>75000.0</v>
      </c>
      <c r="F8">
        <v>530000.0</v>
      </c>
      <c r="G8">
        <v>53000.0</v>
      </c>
      <c r="H8">
        <v>30000.0</v>
      </c>
      <c r="I8">
        <v>500000.0</v>
      </c>
      <c r="J8">
        <f>D8-E8-G8-H8</f>
        <v>72000.0</v>
      </c>
    </row>
    <row r="9" spans="8:8" ht="15.1">
      <c r="A9" s="2" t="s">
        <v>7</v>
      </c>
      <c r="B9" s="5">
        <v>7.83073573E8</v>
      </c>
      <c r="C9" s="3" t="s">
        <v>46</v>
      </c>
      <c r="D9" s="4">
        <v>200000.0</v>
      </c>
      <c r="E9">
        <v>150000.0</v>
      </c>
      <c r="F9">
        <v>370000.0</v>
      </c>
      <c r="G9">
        <v>18000.0</v>
      </c>
      <c r="I9">
        <v>370000.0</v>
      </c>
      <c r="J9">
        <f>D9-E9-G9</f>
        <v>32000.0</v>
      </c>
    </row>
    <row r="10" spans="8:8" ht="15.05">
      <c r="A10" s="2" t="s">
        <v>8</v>
      </c>
      <c r="B10" s="5">
        <v>7.88134549E8</v>
      </c>
      <c r="C10" s="7" t="s">
        <v>47</v>
      </c>
      <c r="D10" s="4">
        <v>200000.0</v>
      </c>
      <c r="F10">
        <v>800000.0</v>
      </c>
      <c r="G10">
        <v>80000.0</v>
      </c>
      <c r="H10">
        <v>100000.0</v>
      </c>
      <c r="I10">
        <v>700000.0</v>
      </c>
      <c r="J10">
        <f>D10-G10-H10</f>
        <v>20000.0</v>
      </c>
    </row>
    <row r="11" spans="8:8" ht="15.05">
      <c r="A11" s="2" t="s">
        <v>9</v>
      </c>
      <c r="B11" s="5">
        <v>7.82462736E8</v>
      </c>
      <c r="C11" s="7" t="s">
        <v>48</v>
      </c>
      <c r="D11" s="4">
        <v>200000.0</v>
      </c>
      <c r="E11">
        <v>150000.0</v>
      </c>
      <c r="F11">
        <v>100000.0</v>
      </c>
      <c r="G11">
        <v>10000.0</v>
      </c>
      <c r="I11">
        <v>100000.0</v>
      </c>
      <c r="J11">
        <f>D11-E11-G11</f>
        <v>40000.0</v>
      </c>
    </row>
    <row r="12" spans="8:8" ht="15.05">
      <c r="A12" s="2" t="s">
        <v>10</v>
      </c>
      <c r="B12" s="5">
        <v>7.78366202E8</v>
      </c>
      <c r="C12" s="3" t="s">
        <v>49</v>
      </c>
      <c r="D12" s="4">
        <v>200000.0</v>
      </c>
      <c r="E12">
        <v>50000.0</v>
      </c>
      <c r="F12">
        <v>510000.0</v>
      </c>
      <c r="G12">
        <v>45500.0</v>
      </c>
      <c r="I12">
        <v>510000.0</v>
      </c>
      <c r="J12">
        <f>D12-E12-G12</f>
        <v>104500.0</v>
      </c>
    </row>
    <row r="13" spans="8:8" ht="15.05">
      <c r="A13" s="2" t="s">
        <v>11</v>
      </c>
      <c r="B13" s="2">
        <v>7.85516537E8</v>
      </c>
      <c r="C13" s="3" t="s">
        <v>50</v>
      </c>
      <c r="D13" s="4">
        <v>200000.0</v>
      </c>
      <c r="E13">
        <v>50000.0</v>
      </c>
      <c r="F13">
        <v>780000.0</v>
      </c>
      <c r="G13">
        <v>70000.0</v>
      </c>
      <c r="I13">
        <v>780000.0</v>
      </c>
      <c r="J13">
        <f>D13-E13-G13</f>
        <v>80000.0</v>
      </c>
    </row>
    <row r="14" spans="8:8" ht="15.05">
      <c r="A14" s="2" t="s">
        <v>12</v>
      </c>
      <c r="B14" s="5">
        <v>7.8561492E8</v>
      </c>
      <c r="C14" s="3" t="s">
        <v>51</v>
      </c>
      <c r="D14" s="4">
        <v>220000.0</v>
      </c>
      <c r="E14">
        <v>50000.0</v>
      </c>
      <c r="F14">
        <v>410000.0</v>
      </c>
      <c r="G14">
        <v>31300.0</v>
      </c>
      <c r="H14">
        <v>50000.0</v>
      </c>
      <c r="I14">
        <v>360000.0</v>
      </c>
      <c r="J14">
        <f>D14-E14-G14-H14</f>
        <v>88700.0</v>
      </c>
    </row>
    <row r="15" spans="8:8" ht="15.05">
      <c r="A15" s="2" t="s">
        <v>13</v>
      </c>
      <c r="B15" s="5">
        <v>7.80589399E8</v>
      </c>
      <c r="C15" s="3" t="s">
        <v>52</v>
      </c>
      <c r="D15" s="4">
        <v>300000.0</v>
      </c>
      <c r="E15">
        <v>200000.0</v>
      </c>
      <c r="I15"/>
      <c r="J15">
        <f>D15-E15</f>
        <v>100000.0</v>
      </c>
    </row>
    <row r="16" spans="8:8" ht="15.45">
      <c r="A16" s="2" t="s">
        <v>14</v>
      </c>
      <c r="B16" s="5">
        <v>7.74510171E8</v>
      </c>
      <c r="C16" s="3" t="s">
        <v>53</v>
      </c>
      <c r="D16" s="4">
        <v>400000.0</v>
      </c>
      <c r="E16"/>
      <c r="F16">
        <v>800000.0</v>
      </c>
      <c r="G16">
        <v>72600.0</v>
      </c>
      <c r="H16">
        <v>327400.0</v>
      </c>
      <c r="I16">
        <v>472600.0</v>
      </c>
      <c r="J16">
        <f>D16-G16-H16</f>
        <v>0.0</v>
      </c>
    </row>
    <row r="17" spans="8:8" ht="15.45">
      <c r="A17" s="2" t="s">
        <v>15</v>
      </c>
      <c r="B17" s="5">
        <v>7.65353098E8</v>
      </c>
      <c r="C17" s="3" t="s">
        <v>54</v>
      </c>
      <c r="D17" s="4">
        <v>300000.0</v>
      </c>
      <c r="E17">
        <v>50000.0</v>
      </c>
      <c r="F17">
        <v>979000.0</v>
      </c>
      <c r="G17">
        <v>97900.0</v>
      </c>
      <c r="H17">
        <f>D17-E17-G17</f>
        <v>152100.0</v>
      </c>
      <c r="I17">
        <v>776900.0</v>
      </c>
      <c r="J17">
        <f>D17-E17-G17-H17</f>
        <v>0.0</v>
      </c>
    </row>
    <row r="18" spans="8:8" ht="14.95">
      <c r="A18" s="2" t="s">
        <v>16</v>
      </c>
      <c r="B18" s="5">
        <v>7.80119749E8</v>
      </c>
      <c r="C18" s="3" t="s">
        <v>55</v>
      </c>
      <c r="D18" s="4">
        <v>200000.0</v>
      </c>
      <c r="E18">
        <v>50000.0</v>
      </c>
      <c r="F18">
        <v>250000.0</v>
      </c>
      <c r="G18">
        <v>25000.0</v>
      </c>
      <c r="H18">
        <v>80000.0</v>
      </c>
      <c r="I18">
        <v>170000.0</v>
      </c>
      <c r="J18">
        <f>D18-E18-G18-H18</f>
        <v>45000.0</v>
      </c>
    </row>
    <row r="19" spans="8:8" ht="14.95">
      <c r="A19" s="2" t="s">
        <v>17</v>
      </c>
      <c r="B19" s="5">
        <v>7.82462736E8</v>
      </c>
      <c r="C19" s="3" t="s">
        <v>56</v>
      </c>
      <c r="D19" s="4">
        <v>200000.0</v>
      </c>
      <c r="E19">
        <v>175000.0</v>
      </c>
      <c r="J19">
        <f>D19-E19-G19-H19</f>
        <v>25000.0</v>
      </c>
    </row>
    <row r="20" spans="8:8" ht="14.95">
      <c r="A20" s="2" t="s">
        <v>18</v>
      </c>
      <c r="B20" s="8">
        <v>7.60048591E8</v>
      </c>
      <c r="C20" s="3" t="s">
        <v>57</v>
      </c>
      <c r="D20" s="4">
        <v>200000.0</v>
      </c>
      <c r="E20"/>
      <c r="F20">
        <v>300000.0</v>
      </c>
      <c r="G20">
        <v>26300.0</v>
      </c>
      <c r="H20">
        <v>70000.0</v>
      </c>
      <c r="I20">
        <v>230000.0</v>
      </c>
      <c r="J20">
        <f>D20-E20-G20-H20</f>
        <v>103700.0</v>
      </c>
    </row>
    <row r="21" spans="8:8" ht="14.95">
      <c r="A21" s="2" t="s">
        <v>19</v>
      </c>
      <c r="B21" s="6">
        <v>7.82782409E8</v>
      </c>
      <c r="C21" s="3" t="s">
        <v>58</v>
      </c>
      <c r="D21" s="4">
        <v>200000.0</v>
      </c>
      <c r="E21">
        <v>50000.0</v>
      </c>
      <c r="F21">
        <v>590000.0</v>
      </c>
      <c r="G21">
        <v>56000.0</v>
      </c>
      <c r="I21">
        <v>590000.0</v>
      </c>
      <c r="J21">
        <f>D21-E21-G21-H21</f>
        <v>94000.0</v>
      </c>
    </row>
    <row r="22" spans="8:8" ht="14.95">
      <c r="A22" s="2" t="s">
        <v>20</v>
      </c>
      <c r="B22" s="6">
        <v>7.54688731E8</v>
      </c>
      <c r="C22" s="3" t="s">
        <v>59</v>
      </c>
      <c r="D22" s="4">
        <v>200000.0</v>
      </c>
      <c r="E22">
        <v>50000.0</v>
      </c>
      <c r="F22">
        <v>400000.0</v>
      </c>
      <c r="G22">
        <v>36300.0</v>
      </c>
      <c r="I22">
        <v>400000.0</v>
      </c>
      <c r="J22">
        <f>D22-E22-G22-H22</f>
        <v>113700.0</v>
      </c>
    </row>
    <row r="23" spans="8:8" ht="14.95">
      <c r="A23" s="9" t="s">
        <v>108</v>
      </c>
      <c r="B23" s="10">
        <v>7.51590239E8</v>
      </c>
      <c r="C23" s="11" t="s">
        <v>60</v>
      </c>
      <c r="D23" s="4">
        <v>200000.0</v>
      </c>
      <c r="E23">
        <v>150000.0</v>
      </c>
      <c r="F23">
        <v>70000.0</v>
      </c>
      <c r="G23">
        <v>7000.0</v>
      </c>
      <c r="I23">
        <v>70000.0</v>
      </c>
      <c r="J23">
        <f>D23-E23-G23-H23</f>
        <v>43000.0</v>
      </c>
    </row>
    <row r="24" spans="8:8" ht="14.95">
      <c r="A24" s="9" t="s">
        <v>82</v>
      </c>
      <c r="B24" s="10"/>
      <c r="C24" s="11" t="s">
        <v>83</v>
      </c>
      <c r="D24" s="4"/>
      <c r="E24">
        <v>300000.0</v>
      </c>
      <c r="F24">
        <v>700000.0</v>
      </c>
      <c r="G24">
        <v>70000.0</v>
      </c>
      <c r="I24">
        <v>700000.0</v>
      </c>
      <c r="J24"/>
    </row>
    <row r="25" spans="8:8" ht="15.85">
      <c r="A25" t="s">
        <v>72</v>
      </c>
      <c r="E25">
        <v>2000000.0</v>
      </c>
    </row>
    <row r="27" spans="8:8" ht="15.45">
      <c r="D27" s="1">
        <f>SUM(D2:D23)</f>
        <v>4880000.0</v>
      </c>
      <c r="E27" s="1">
        <f>SUM(E2:E25)</f>
        <v>3900000.0</v>
      </c>
      <c r="F27" s="1">
        <f>SUM(F2:F25)</f>
        <v>1.0419E7</v>
      </c>
      <c r="G27" s="1">
        <f>SUM(G2:G24)</f>
        <v>968800.0</v>
      </c>
      <c r="H27" s="1">
        <f>SUM(H2:H24)</f>
        <v>909500.0</v>
      </c>
      <c r="I27" s="1">
        <f>SUM(I2:I25)</f>
        <v>9459500.0</v>
      </c>
      <c r="J27" s="1">
        <f>SUM(J2:J25)</f>
        <v>1471700.0</v>
      </c>
    </row>
    <row r="29" spans="8:8">
      <c r="B29" s="1" t="s">
        <v>113</v>
      </c>
    </row>
    <row r="30" spans="8:8" ht="15.0">
      <c r="B30" t="s">
        <v>86</v>
      </c>
      <c r="C30" s="21">
        <v>1900000.0</v>
      </c>
      <c r="D30" s="22" t="s">
        <v>116</v>
      </c>
    </row>
    <row r="31" spans="8:8" ht="15.45">
      <c r="B31" t="s">
        <v>88</v>
      </c>
      <c r="C31">
        <v>968800.0</v>
      </c>
    </row>
    <row r="32" spans="8:8" ht="15.45">
      <c r="B32" t="s">
        <v>69</v>
      </c>
      <c r="C32">
        <v>909500.0</v>
      </c>
    </row>
    <row r="33" spans="8:8" ht="15.05">
      <c r="B33" s="1" t="s">
        <v>114</v>
      </c>
      <c r="C33" s="1">
        <f>SUM(C30:C32)</f>
        <v>3778300.0</v>
      </c>
    </row>
    <row r="34" spans="8:8" ht="14.35">
      <c r="E34"/>
    </row>
    <row r="35" spans="8:8" ht="31.15"/>
    <row r="40" spans="8:8" ht="19.85"/>
    <row r="42" spans="8:8" ht="14.35">
      <c r="I42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BV49"/>
  <sheetViews>
    <sheetView workbookViewId="0" topLeftCell="B10" zoomScale="104">
      <selection activeCell="E30" sqref="E30"/>
    </sheetView>
  </sheetViews>
  <sheetFormatPr defaultRowHeight="16.25" defaultColWidth="10"/>
  <cols>
    <col min="1" max="1" customWidth="1" width="19.621094" style="0"/>
    <col min="2" max="2" customWidth="1" width="14.8125" style="0"/>
    <col min="3" max="3" customWidth="1" width="13.75" style="0"/>
    <col min="8" max="8" customWidth="1" width="14.25" style="0"/>
    <col min="9" max="9" customWidth="1" width="16.621094" style="0"/>
    <col min="10" max="10" customWidth="1" width="26.441406" style="0"/>
  </cols>
  <sheetData>
    <row r="1" spans="8:8">
      <c r="A1" s="1" t="s">
        <v>94</v>
      </c>
      <c r="B1" s="1" t="s">
        <v>95</v>
      </c>
      <c r="C1" s="1" t="s">
        <v>109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115</v>
      </c>
    </row>
    <row r="2" spans="8:8" ht="15.45">
      <c r="A2" s="2" t="s">
        <v>0</v>
      </c>
      <c r="B2" s="2" t="s">
        <v>36</v>
      </c>
      <c r="C2" s="3" t="s">
        <v>39</v>
      </c>
      <c r="D2" s="4">
        <v>200000.0</v>
      </c>
      <c r="E2">
        <v>50000.0</v>
      </c>
      <c r="F2">
        <v>595000.0</v>
      </c>
      <c r="G2">
        <v>58300.0</v>
      </c>
      <c r="H2">
        <v>50000.0</v>
      </c>
      <c r="I2">
        <f>F2-H2</f>
        <v>545000.0</v>
      </c>
      <c r="J2">
        <f>D2-E2-G2-H2</f>
        <v>41700.0</v>
      </c>
    </row>
    <row r="3" spans="8:8">
      <c r="A3" s="2" t="s">
        <v>1</v>
      </c>
      <c r="B3" s="5">
        <v>7.88383588E8</v>
      </c>
      <c r="C3" s="3" t="s">
        <v>40</v>
      </c>
      <c r="D3" s="4">
        <v>250000.0</v>
      </c>
      <c r="E3">
        <v>100000.0</v>
      </c>
      <c r="F3">
        <v>1000000.0</v>
      </c>
      <c r="G3">
        <v>92000.0</v>
      </c>
      <c r="H3">
        <v>20000.0</v>
      </c>
      <c r="I3">
        <f>F3-H3</f>
        <v>980000.0</v>
      </c>
      <c r="J3">
        <f>D3-E3-G3-H3</f>
        <v>38000.0</v>
      </c>
    </row>
    <row r="4" spans="8:8">
      <c r="A4" s="2" t="s">
        <v>2</v>
      </c>
      <c r="B4" s="5">
        <v>7.72796255E8</v>
      </c>
      <c r="C4" s="3" t="s">
        <v>41</v>
      </c>
      <c r="D4" s="4">
        <v>200000.0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f>D4-E4-G4-H4</f>
        <v>200000.0</v>
      </c>
    </row>
    <row r="5" spans="8:8">
      <c r="A5" s="2" t="s">
        <v>3</v>
      </c>
      <c r="B5" s="2" t="s">
        <v>37</v>
      </c>
      <c r="C5" s="3" t="s">
        <v>42</v>
      </c>
      <c r="D5" s="4">
        <v>150000.0</v>
      </c>
      <c r="E5">
        <v>50000.0</v>
      </c>
      <c r="F5">
        <v>0.0</v>
      </c>
      <c r="G5">
        <v>0.0</v>
      </c>
      <c r="H5">
        <v>0.0</v>
      </c>
      <c r="I5">
        <v>0.0</v>
      </c>
      <c r="J5">
        <f>D5-E5-G5-H5</f>
        <v>100000.0</v>
      </c>
    </row>
    <row r="6" spans="8:8">
      <c r="A6" s="2" t="s">
        <v>4</v>
      </c>
      <c r="B6" s="6">
        <v>7.63543426E8</v>
      </c>
      <c r="C6" s="3" t="s">
        <v>43</v>
      </c>
      <c r="D6" s="4">
        <v>200000.0</v>
      </c>
      <c r="E6">
        <v>50000.0</v>
      </c>
      <c r="F6">
        <v>800000.0</v>
      </c>
      <c r="G6">
        <v>80000.0</v>
      </c>
      <c r="H6">
        <v>0.0</v>
      </c>
      <c r="I6">
        <v>800000.0</v>
      </c>
      <c r="J6">
        <f>D6-E6-G6-H6</f>
        <v>70000.0</v>
      </c>
    </row>
    <row r="7" spans="8:8">
      <c r="A7" s="2" t="s">
        <v>5</v>
      </c>
      <c r="B7" s="6">
        <v>7.68861889E8</v>
      </c>
      <c r="C7" s="3" t="s">
        <v>44</v>
      </c>
      <c r="D7" s="4">
        <v>230000.0</v>
      </c>
      <c r="E7">
        <v>0.0</v>
      </c>
      <c r="F7">
        <v>550000.0</v>
      </c>
      <c r="G7">
        <v>54300.0</v>
      </c>
      <c r="H7">
        <v>50000.0</v>
      </c>
      <c r="I7">
        <v>500000.0</v>
      </c>
      <c r="J7">
        <f>D7-E7-G7-H7</f>
        <v>125700.0</v>
      </c>
    </row>
    <row r="8" spans="8:8">
      <c r="A8" s="2" t="s">
        <v>6</v>
      </c>
      <c r="B8" s="2" t="s">
        <v>38</v>
      </c>
      <c r="C8" s="3" t="s">
        <v>45</v>
      </c>
      <c r="D8" s="4">
        <v>230000.0</v>
      </c>
      <c r="E8">
        <v>100000.0</v>
      </c>
      <c r="F8">
        <v>540000.0</v>
      </c>
      <c r="G8">
        <v>52000.0</v>
      </c>
      <c r="H8">
        <v>10000.0</v>
      </c>
      <c r="I8">
        <v>530000.0</v>
      </c>
      <c r="J8">
        <f>D8-E8-G8-H8</f>
        <v>68000.0</v>
      </c>
    </row>
    <row r="9" spans="8:8">
      <c r="A9" s="2" t="s">
        <v>7</v>
      </c>
      <c r="B9" s="5">
        <v>7.83073573E8</v>
      </c>
      <c r="C9" s="3" t="s">
        <v>46</v>
      </c>
      <c r="D9" s="4">
        <v>200000.0</v>
      </c>
      <c r="E9">
        <v>100000.0</v>
      </c>
      <c r="F9">
        <v>370000.0</v>
      </c>
      <c r="G9">
        <v>37000.0</v>
      </c>
      <c r="H9">
        <v>50000.0</v>
      </c>
      <c r="I9">
        <f>F9-H9</f>
        <v>320000.0</v>
      </c>
      <c r="J9">
        <f>D9-E9-G9-H9</f>
        <v>13000.0</v>
      </c>
    </row>
    <row r="10" spans="8:8">
      <c r="A10" s="2" t="s">
        <v>8</v>
      </c>
      <c r="B10" s="5">
        <v>7.88134549E8</v>
      </c>
      <c r="C10" s="7" t="s">
        <v>47</v>
      </c>
      <c r="D10" s="4">
        <v>200000.0</v>
      </c>
      <c r="E10">
        <v>0.0</v>
      </c>
      <c r="F10">
        <v>700000.0</v>
      </c>
      <c r="G10">
        <v>70000.0</v>
      </c>
      <c r="H10">
        <v>130000.0</v>
      </c>
      <c r="I10">
        <f>F10-H10</f>
        <v>570000.0</v>
      </c>
      <c r="J10">
        <f>D10-E10-G10-H10</f>
        <v>0.0</v>
      </c>
    </row>
    <row r="11" spans="8:8">
      <c r="A11" s="2" t="s">
        <v>9</v>
      </c>
      <c r="B11" s="5">
        <v>7.82462736E8</v>
      </c>
      <c r="C11" s="7" t="s">
        <v>48</v>
      </c>
      <c r="D11" s="4">
        <v>200000.0</v>
      </c>
      <c r="E11">
        <v>25000.0</v>
      </c>
      <c r="F11">
        <v>100000.0</v>
      </c>
      <c r="G11">
        <v>10000.0</v>
      </c>
      <c r="H11">
        <v>100000.0</v>
      </c>
      <c r="I11">
        <f>F11-H11</f>
        <v>0.0</v>
      </c>
      <c r="J11">
        <f>D11-E11-G11-H11</f>
        <v>65000.0</v>
      </c>
    </row>
    <row r="12" spans="8:8">
      <c r="A12" s="2" t="s">
        <v>10</v>
      </c>
      <c r="B12" s="5">
        <v>7.78366202E8</v>
      </c>
      <c r="C12" s="3" t="s">
        <v>49</v>
      </c>
      <c r="D12" s="4">
        <v>200000.0</v>
      </c>
      <c r="E12">
        <v>50000.0</v>
      </c>
      <c r="F12">
        <v>600000.0</v>
      </c>
      <c r="G12">
        <v>60000.0</v>
      </c>
      <c r="H12">
        <v>0.0</v>
      </c>
      <c r="I12">
        <f>F12-H12</f>
        <v>600000.0</v>
      </c>
      <c r="J12">
        <f>D12-E12-G12-H12</f>
        <v>90000.0</v>
      </c>
    </row>
    <row r="13" spans="8:8">
      <c r="A13" s="2" t="s">
        <v>11</v>
      </c>
      <c r="B13" s="2">
        <v>7.85516537E8</v>
      </c>
      <c r="C13" s="3" t="s">
        <v>50</v>
      </c>
      <c r="D13" s="4">
        <v>200000.0</v>
      </c>
      <c r="E13">
        <v>50000.0</v>
      </c>
      <c r="F13">
        <v>755000.0</v>
      </c>
      <c r="G13">
        <v>72700.0</v>
      </c>
      <c r="H13">
        <v>50000.0</v>
      </c>
      <c r="I13">
        <f>F13-H13</f>
        <v>705000.0</v>
      </c>
      <c r="J13">
        <f>D13-E13-G13-H13</f>
        <v>27300.0</v>
      </c>
    </row>
    <row r="14" spans="8:8">
      <c r="A14" s="2" t="s">
        <v>12</v>
      </c>
      <c r="B14" s="5">
        <v>7.8561492E8</v>
      </c>
      <c r="C14" s="3" t="s">
        <v>51</v>
      </c>
      <c r="D14" s="4">
        <v>220000.0</v>
      </c>
      <c r="E14">
        <v>50000.0</v>
      </c>
      <c r="F14">
        <v>440000.0</v>
      </c>
      <c r="G14">
        <v>41500.0</v>
      </c>
      <c r="H14">
        <v>0.0</v>
      </c>
      <c r="I14">
        <f>F14-H14</f>
        <v>440000.0</v>
      </c>
      <c r="J14">
        <f>D14-E14-G14-H14</f>
        <v>128500.0</v>
      </c>
    </row>
    <row r="15" spans="8:8">
      <c r="A15" s="2" t="s">
        <v>13</v>
      </c>
      <c r="B15" s="5">
        <v>7.80589399E8</v>
      </c>
      <c r="C15" s="3" t="s">
        <v>52</v>
      </c>
      <c r="D15" s="4">
        <v>300000.0</v>
      </c>
      <c r="E15">
        <v>50000.0</v>
      </c>
      <c r="F15">
        <v>0.0</v>
      </c>
      <c r="G15">
        <v>0.0</v>
      </c>
      <c r="H15">
        <v>0.0</v>
      </c>
      <c r="I15">
        <f>F15-H15</f>
        <v>0.0</v>
      </c>
      <c r="J15">
        <f>D15-E15-G15-H15</f>
        <v>250000.0</v>
      </c>
    </row>
    <row r="16" spans="8:8">
      <c r="A16" s="2" t="s">
        <v>14</v>
      </c>
      <c r="B16" s="5">
        <v>7.74510171E8</v>
      </c>
      <c r="C16" s="3" t="s">
        <v>53</v>
      </c>
      <c r="D16" s="4">
        <v>400000.0</v>
      </c>
      <c r="E16">
        <v>0.0</v>
      </c>
      <c r="F16">
        <v>1112600.0</v>
      </c>
      <c r="G16">
        <v>105000.0</v>
      </c>
      <c r="H16">
        <v>295000.0</v>
      </c>
      <c r="I16">
        <f>F16-H16</f>
        <v>817600.0</v>
      </c>
      <c r="J16">
        <f>D16-E16-G16-H16</f>
        <v>0.0</v>
      </c>
    </row>
    <row r="17" spans="8:8">
      <c r="A17" s="2" t="s">
        <v>15</v>
      </c>
      <c r="B17" s="5">
        <v>7.65353098E8</v>
      </c>
      <c r="C17" s="3" t="s">
        <v>54</v>
      </c>
      <c r="D17" s="4">
        <v>300000.0</v>
      </c>
      <c r="E17">
        <v>25000.0</v>
      </c>
      <c r="F17">
        <v>876900.0</v>
      </c>
      <c r="G17">
        <v>87700.0</v>
      </c>
      <c r="H17">
        <v>100000.0</v>
      </c>
      <c r="I17">
        <f>F17-H17</f>
        <v>776900.0</v>
      </c>
      <c r="J17">
        <f>D17-E17-G17-H17</f>
        <v>87300.0</v>
      </c>
    </row>
    <row r="18" spans="8:8">
      <c r="A18" s="2" t="s">
        <v>16</v>
      </c>
      <c r="B18" s="5">
        <v>7.80119749E8</v>
      </c>
      <c r="C18" s="3" t="s">
        <v>55</v>
      </c>
      <c r="D18" s="4">
        <v>200000.0</v>
      </c>
      <c r="E18">
        <v>50000.0</v>
      </c>
      <c r="F18">
        <v>170000.0</v>
      </c>
      <c r="G18">
        <v>17000.0</v>
      </c>
      <c r="H18">
        <v>50000.0</v>
      </c>
      <c r="I18">
        <f>F18-H18</f>
        <v>120000.0</v>
      </c>
      <c r="J18">
        <f>D18-E18-G18-H18</f>
        <v>83000.0</v>
      </c>
    </row>
    <row r="19" spans="8:8">
      <c r="A19" s="2" t="s">
        <v>17</v>
      </c>
      <c r="B19" s="5">
        <v>7.82462736E8</v>
      </c>
      <c r="C19" s="3" t="s">
        <v>56</v>
      </c>
      <c r="D19" s="4">
        <v>200000.0</v>
      </c>
      <c r="E19">
        <v>0.0</v>
      </c>
      <c r="F19">
        <v>160000.0</v>
      </c>
      <c r="G19">
        <v>15700.0</v>
      </c>
      <c r="H19">
        <v>160000.0</v>
      </c>
      <c r="I19">
        <f>F19-H19</f>
        <v>0.0</v>
      </c>
      <c r="J19">
        <f>D19-E19-G19-H19</f>
        <v>24300.0</v>
      </c>
    </row>
    <row r="20" spans="8:8">
      <c r="A20" s="2" t="s">
        <v>18</v>
      </c>
      <c r="B20" s="8">
        <v>7.60048591E8</v>
      </c>
      <c r="C20" s="3" t="s">
        <v>57</v>
      </c>
      <c r="D20" s="4">
        <v>200000.0</v>
      </c>
      <c r="E20">
        <v>0.0</v>
      </c>
      <c r="F20">
        <v>410000.0</v>
      </c>
      <c r="G20">
        <v>38400.0</v>
      </c>
      <c r="H20">
        <v>100000.0</v>
      </c>
      <c r="I20">
        <f>F20-H20</f>
        <v>310000.0</v>
      </c>
      <c r="J20">
        <f>D20-E20-G20-H20</f>
        <v>61600.0</v>
      </c>
    </row>
    <row r="21" spans="8:8">
      <c r="A21" s="2" t="s">
        <v>19</v>
      </c>
      <c r="B21" s="6">
        <v>7.82782409E8</v>
      </c>
      <c r="C21" s="3" t="s">
        <v>58</v>
      </c>
      <c r="D21" s="4">
        <v>200000.0</v>
      </c>
      <c r="E21">
        <v>50000.0</v>
      </c>
      <c r="F21">
        <v>690000.0</v>
      </c>
      <c r="G21">
        <v>63500.0</v>
      </c>
      <c r="H21">
        <v>0.0</v>
      </c>
      <c r="I21">
        <f>F21-H21</f>
        <v>690000.0</v>
      </c>
      <c r="J21">
        <f>D21-E21-G21-H21</f>
        <v>86500.0</v>
      </c>
    </row>
    <row r="22" spans="8:8">
      <c r="A22" s="2" t="s">
        <v>20</v>
      </c>
      <c r="B22" s="6">
        <v>7.54688731E8</v>
      </c>
      <c r="C22" s="3" t="s">
        <v>59</v>
      </c>
      <c r="D22" s="4">
        <v>200000.0</v>
      </c>
      <c r="E22">
        <v>50000.0</v>
      </c>
      <c r="F22">
        <v>400000.0</v>
      </c>
      <c r="G22">
        <v>40000.0</v>
      </c>
      <c r="H22">
        <v>0.0</v>
      </c>
      <c r="I22">
        <f>F22-H22</f>
        <v>400000.0</v>
      </c>
      <c r="J22">
        <f>D22-E22-G22-H22</f>
        <v>110000.0</v>
      </c>
    </row>
    <row r="23" spans="8:8">
      <c r="A23" s="9" t="s">
        <v>108</v>
      </c>
      <c r="B23" s="10">
        <v>7.51590239E8</v>
      </c>
      <c r="C23" s="11" t="s">
        <v>60</v>
      </c>
      <c r="D23" s="4">
        <v>200000.0</v>
      </c>
      <c r="E23">
        <v>150000.0</v>
      </c>
      <c r="F23">
        <v>250000.0</v>
      </c>
      <c r="G23">
        <v>21000.0</v>
      </c>
      <c r="H23">
        <v>0.0</v>
      </c>
      <c r="I23">
        <f>F23-H23</f>
        <v>250000.0</v>
      </c>
      <c r="J23">
        <f>D23-E23-G23-H23</f>
        <v>29000.0</v>
      </c>
    </row>
    <row r="24" spans="8:8">
      <c r="A24" s="9" t="s">
        <v>82</v>
      </c>
      <c r="B24" s="10"/>
      <c r="C24" s="11" t="s">
        <v>83</v>
      </c>
      <c r="D24" s="4"/>
      <c r="E24">
        <v>300000.0</v>
      </c>
      <c r="F24">
        <v>1100000.0</v>
      </c>
      <c r="G24">
        <v>110000.0</v>
      </c>
      <c r="H24">
        <v>0.0</v>
      </c>
      <c r="I24">
        <f>F24-H24</f>
        <v>1100000.0</v>
      </c>
      <c r="J24"/>
    </row>
    <row r="25" spans="8:8">
      <c r="A25" t="s">
        <v>72</v>
      </c>
      <c r="C25" t="s">
        <v>122</v>
      </c>
      <c r="E25">
        <v>2000000.0</v>
      </c>
      <c r="F25">
        <v>0.0</v>
      </c>
      <c r="G25">
        <v>0.0</v>
      </c>
      <c r="H25">
        <v>0.0</v>
      </c>
      <c r="I25">
        <v>0.0</v>
      </c>
      <c r="J25"/>
    </row>
    <row r="26" spans="8:8">
      <c r="A26" t="s">
        <v>117</v>
      </c>
      <c r="B26">
        <v>7.56838488E8</v>
      </c>
      <c r="C26" t="s">
        <v>120</v>
      </c>
      <c r="D26">
        <v>126666.0</v>
      </c>
      <c r="E26">
        <v>25000.0</v>
      </c>
      <c r="F26" t="s">
        <v>75</v>
      </c>
      <c r="G26">
        <v>0.0</v>
      </c>
      <c r="H26">
        <v>0.0</v>
      </c>
      <c r="I26">
        <v>0.0</v>
      </c>
      <c r="J26">
        <f>D26-E26</f>
        <v>101666.0</v>
      </c>
    </row>
    <row r="27" spans="8:8">
      <c r="A27" t="s">
        <v>118</v>
      </c>
      <c r="B27">
        <v>7.05737084E8</v>
      </c>
      <c r="C27" t="s">
        <v>121</v>
      </c>
      <c r="D27">
        <v>126666.0</v>
      </c>
      <c r="E27">
        <v>50000.0</v>
      </c>
      <c r="F27">
        <v>0.0</v>
      </c>
      <c r="G27">
        <v>0.0</v>
      </c>
      <c r="H27">
        <v>0.0</v>
      </c>
      <c r="I27">
        <v>0.0</v>
      </c>
      <c r="J27">
        <f>D27-E27</f>
        <v>76666.0</v>
      </c>
    </row>
    <row r="28" spans="8:8">
      <c r="A28" t="s">
        <v>119</v>
      </c>
      <c r="B28">
        <v>7.90157082E8</v>
      </c>
      <c r="C28" t="s">
        <v>121</v>
      </c>
      <c r="D28">
        <v>200000.0</v>
      </c>
      <c r="E28">
        <v>0.0</v>
      </c>
      <c r="F28">
        <v>0.0</v>
      </c>
      <c r="G28">
        <v>0.0</v>
      </c>
      <c r="H28">
        <v>20000.0</v>
      </c>
      <c r="I28">
        <v>0.0</v>
      </c>
      <c r="J28">
        <f>D28-H28</f>
        <v>180000.0</v>
      </c>
    </row>
    <row r="29" spans="8:8">
      <c r="A29" t="s">
        <v>124</v>
      </c>
      <c r="D29">
        <v>1000000.0</v>
      </c>
      <c r="E29">
        <v>0.0</v>
      </c>
      <c r="F29">
        <v>507000.0</v>
      </c>
      <c r="G29">
        <v>0.0</v>
      </c>
      <c r="H29">
        <v>507000.0</v>
      </c>
      <c r="I29">
        <v>0.0</v>
      </c>
      <c r="J29">
        <f>D29-H29</f>
        <v>493000.0</v>
      </c>
    </row>
    <row r="30" spans="8:8">
      <c r="A30" s="1" t="s">
        <v>114</v>
      </c>
      <c r="D30" s="1">
        <f>SUM(D2:D29)</f>
        <v>6333332.0</v>
      </c>
      <c r="E30" s="1">
        <f>SUM(E2:E29)</f>
        <v>3375000.0</v>
      </c>
      <c r="F30" s="1">
        <f>SUM(F2:F29)</f>
        <v>1.21265E7</v>
      </c>
      <c r="G30" s="1">
        <f>SUM(G2:G29)</f>
        <v>1126100.0</v>
      </c>
      <c r="H30" s="1">
        <f>SUM(H2:H29)</f>
        <v>1692000.0</v>
      </c>
      <c r="I30" s="1">
        <f>SUM(I2:I29)</f>
        <v>1.04545E7</v>
      </c>
      <c r="J30" s="1">
        <f>SUM(J2:J29)</f>
        <v>2550232.0</v>
      </c>
    </row>
    <row r="32" spans="8:8">
      <c r="B32" s="1" t="s">
        <v>126</v>
      </c>
    </row>
    <row r="33" spans="8:8">
      <c r="A33" s="23" t="s">
        <v>86</v>
      </c>
      <c r="B33" s="24">
        <v>3375000.0</v>
      </c>
    </row>
    <row r="34" spans="8:8">
      <c r="A34" s="23" t="s">
        <v>127</v>
      </c>
      <c r="B34" s="24">
        <v>1126100.0</v>
      </c>
    </row>
    <row r="35" spans="8:8">
      <c r="A35" s="23" t="s">
        <v>69</v>
      </c>
      <c r="B35" s="24">
        <v>1692000.0</v>
      </c>
    </row>
    <row r="36" spans="8:8" ht="14.8" customHeight="1">
      <c r="A36" s="1" t="s">
        <v>89</v>
      </c>
      <c r="B36" s="1">
        <f>SUM(B33:B35)</f>
        <v>6193100.0</v>
      </c>
    </row>
    <row r="47" spans="8:8">
      <c r="H47"/>
    </row>
    <row r="49" spans="8:8">
      <c r="H49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BI43"/>
  <sheetViews>
    <sheetView workbookViewId="0" zoomScale="80">
      <selection activeCell="A17" sqref="A17:XFD17"/>
    </sheetView>
  </sheetViews>
  <sheetFormatPr defaultRowHeight="16.25" defaultColWidth="10"/>
  <cols>
    <col min="1" max="1" customWidth="1" width="18.5" style="0"/>
    <col min="2" max="2" customWidth="1" bestFit="1" width="18.5" style="0"/>
    <col min="3" max="3" customWidth="1" bestFit="1" width="16.25" style="0"/>
    <col min="5" max="5" customWidth="1" width="17.597656" style="0"/>
    <col min="6" max="6" customWidth="1" width="16.199219" style="0"/>
    <col min="7" max="7" customWidth="1" width="14.0" style="0"/>
    <col min="8" max="8" customWidth="1" width="15.3984375" style="0"/>
    <col min="9" max="9" customWidth="1" width="17.398438" style="0"/>
    <col min="10" max="10" customWidth="1" width="20.5" style="0"/>
  </cols>
  <sheetData>
    <row r="1" spans="8:8">
      <c r="A1" s="1" t="s">
        <v>94</v>
      </c>
      <c r="B1" s="1" t="s">
        <v>95</v>
      </c>
      <c r="C1" s="1" t="s">
        <v>109</v>
      </c>
      <c r="D1" s="1" t="s">
        <v>96</v>
      </c>
      <c r="E1" s="1" t="s">
        <v>128</v>
      </c>
      <c r="F1" s="1" t="s">
        <v>129</v>
      </c>
      <c r="G1" s="1" t="s">
        <v>68</v>
      </c>
      <c r="H1" s="1" t="s">
        <v>130</v>
      </c>
      <c r="I1" s="1" t="s">
        <v>131</v>
      </c>
      <c r="J1" s="1" t="s">
        <v>132</v>
      </c>
    </row>
    <row r="2" spans="8:8">
      <c r="A2" s="2" t="s">
        <v>0</v>
      </c>
      <c r="B2" s="2"/>
      <c r="C2" s="3"/>
      <c r="D2" s="4">
        <v>200000.0</v>
      </c>
      <c r="E2">
        <v>50000.0</v>
      </c>
      <c r="F2">
        <v>795000.0</v>
      </c>
      <c r="G2">
        <v>62000.0</v>
      </c>
      <c r="H2">
        <v>50000.0</v>
      </c>
      <c r="I2">
        <f>F2-H2</f>
        <v>745000.0</v>
      </c>
      <c r="J2">
        <f>D2-E2-G2-H2</f>
        <v>38000.0</v>
      </c>
    </row>
    <row r="3" spans="8:8">
      <c r="A3" s="2" t="s">
        <v>1</v>
      </c>
      <c r="B3" s="5">
        <v>7.88383588E8</v>
      </c>
      <c r="C3" s="3" t="s">
        <v>120</v>
      </c>
      <c r="D3" s="4">
        <v>250000.0</v>
      </c>
      <c r="E3">
        <v>50000.0</v>
      </c>
      <c r="F3">
        <v>1000000.0</v>
      </c>
      <c r="G3">
        <v>99200.0</v>
      </c>
      <c r="H3">
        <v>0.0</v>
      </c>
      <c r="I3">
        <f>F3-H3</f>
        <v>1000000.0</v>
      </c>
      <c r="J3">
        <f>D3-E3-G3-H3</f>
        <v>100800.0</v>
      </c>
    </row>
    <row r="4" spans="8:8">
      <c r="A4" s="2" t="s">
        <v>2</v>
      </c>
      <c r="B4" s="5">
        <v>7.72796255E8</v>
      </c>
      <c r="C4" s="3" t="s">
        <v>41</v>
      </c>
      <c r="D4" s="4">
        <v>200000.0</v>
      </c>
      <c r="E4">
        <v>0.0</v>
      </c>
      <c r="F4">
        <v>0.0</v>
      </c>
      <c r="G4">
        <v>0.0</v>
      </c>
      <c r="H4">
        <v>0.0</v>
      </c>
      <c r="I4">
        <f>F4-H4</f>
        <v>0.0</v>
      </c>
      <c r="J4">
        <f>D4-E4-G4-H4</f>
        <v>200000.0</v>
      </c>
    </row>
    <row r="5" spans="8:8">
      <c r="A5" s="2" t="s">
        <v>3</v>
      </c>
      <c r="B5" s="2" t="s">
        <v>37</v>
      </c>
      <c r="C5" s="3" t="s">
        <v>42</v>
      </c>
      <c r="D5" s="4">
        <v>150000.0</v>
      </c>
      <c r="E5">
        <v>50000.0</v>
      </c>
      <c r="F5">
        <v>0.0</v>
      </c>
      <c r="G5">
        <v>0.0</v>
      </c>
      <c r="H5">
        <v>0.0</v>
      </c>
      <c r="I5">
        <f>F5-H5</f>
        <v>0.0</v>
      </c>
      <c r="J5">
        <f>D5-E5-G5-H5</f>
        <v>100000.0</v>
      </c>
    </row>
    <row r="6" spans="8:8">
      <c r="A6" s="2" t="s">
        <v>4</v>
      </c>
      <c r="B6" s="6">
        <v>7.63543426E8</v>
      </c>
      <c r="C6" s="3" t="s">
        <v>43</v>
      </c>
      <c r="D6" s="4">
        <v>200000.0</v>
      </c>
      <c r="E6">
        <v>50000.0</v>
      </c>
      <c r="F6">
        <v>400000.0</v>
      </c>
      <c r="G6">
        <v>30000.0</v>
      </c>
      <c r="H6">
        <v>0.0</v>
      </c>
      <c r="I6">
        <f>F6-H6</f>
        <v>400000.0</v>
      </c>
      <c r="J6">
        <f>D6-E6-G6-H6</f>
        <v>120000.0</v>
      </c>
    </row>
    <row r="7" spans="8:8">
      <c r="A7" s="2" t="s">
        <v>5</v>
      </c>
      <c r="B7" s="6">
        <v>7.68861889E8</v>
      </c>
      <c r="C7" s="3" t="s">
        <v>44</v>
      </c>
      <c r="D7" s="4">
        <v>230000.0</v>
      </c>
      <c r="E7">
        <v>50000.0</v>
      </c>
      <c r="F7">
        <v>670000.0</v>
      </c>
      <c r="G7">
        <v>63700.0</v>
      </c>
      <c r="H7">
        <v>50000.0</v>
      </c>
      <c r="I7">
        <f>F7-H7</f>
        <v>620000.0</v>
      </c>
      <c r="J7">
        <f>D7-E7-G7-H7</f>
        <v>66300.0</v>
      </c>
    </row>
    <row r="8" spans="8:8">
      <c r="A8" s="2" t="s">
        <v>6</v>
      </c>
      <c r="B8" s="2" t="s">
        <v>38</v>
      </c>
      <c r="C8" s="3" t="s">
        <v>45</v>
      </c>
      <c r="D8" s="4">
        <v>230000.0</v>
      </c>
      <c r="E8">
        <v>75000.0</v>
      </c>
      <c r="F8">
        <v>540000.0</v>
      </c>
      <c r="G8">
        <v>53700.0</v>
      </c>
      <c r="H8">
        <v>50000.0</v>
      </c>
      <c r="I8">
        <f>F8-H8</f>
        <v>490000.0</v>
      </c>
      <c r="J8">
        <f>D8-E8-G8-H8</f>
        <v>51300.0</v>
      </c>
    </row>
    <row r="9" spans="8:8">
      <c r="A9" s="2" t="s">
        <v>7</v>
      </c>
      <c r="B9" s="5">
        <v>7.83073573E8</v>
      </c>
      <c r="C9" s="3" t="s">
        <v>46</v>
      </c>
      <c r="D9" s="4">
        <v>200000.0</v>
      </c>
      <c r="E9">
        <v>100000.0</v>
      </c>
      <c r="F9">
        <v>320000.0</v>
      </c>
      <c r="G9">
        <v>32000.0</v>
      </c>
      <c r="H9">
        <v>50000.0</v>
      </c>
      <c r="I9">
        <f>F9-H9</f>
        <v>270000.0</v>
      </c>
      <c r="J9">
        <f>D9-E9-G9-H9</f>
        <v>18000.0</v>
      </c>
    </row>
    <row r="10" spans="8:8">
      <c r="A10" s="2" t="s">
        <v>8</v>
      </c>
      <c r="B10" s="5">
        <v>7.88134549E8</v>
      </c>
      <c r="C10" s="7" t="s">
        <v>47</v>
      </c>
      <c r="D10" s="4">
        <v>200000.0</v>
      </c>
      <c r="E10">
        <v>50000.0</v>
      </c>
      <c r="F10">
        <v>570000.0</v>
      </c>
      <c r="G10">
        <v>57000.0</v>
      </c>
      <c r="H10">
        <v>50000.0</v>
      </c>
      <c r="I10">
        <f>F10-H10</f>
        <v>520000.0</v>
      </c>
      <c r="J10">
        <f>D10-E10-G10-H10</f>
        <v>43000.0</v>
      </c>
    </row>
    <row r="11" spans="8:8">
      <c r="A11" s="2" t="s">
        <v>9</v>
      </c>
      <c r="B11" s="5">
        <v>7.82462736E8</v>
      </c>
      <c r="C11" s="7" t="s">
        <v>48</v>
      </c>
      <c r="D11" s="4">
        <v>200000.0</v>
      </c>
      <c r="E11">
        <v>150000.0</v>
      </c>
      <c r="F11">
        <v>100000.0</v>
      </c>
      <c r="G11">
        <v>6200.0</v>
      </c>
      <c r="H11">
        <v>0.0</v>
      </c>
      <c r="I11">
        <f>F11-H11</f>
        <v>100000.0</v>
      </c>
      <c r="J11">
        <f>D11-E11-G11-H11</f>
        <v>43800.0</v>
      </c>
    </row>
    <row r="12" spans="8:8">
      <c r="A12" s="2" t="s">
        <v>10</v>
      </c>
      <c r="B12" s="5">
        <v>7.78366202E8</v>
      </c>
      <c r="C12" s="3" t="s">
        <v>49</v>
      </c>
      <c r="D12" s="4">
        <v>200000.0</v>
      </c>
      <c r="E12">
        <v>50000.0</v>
      </c>
      <c r="F12">
        <v>600000.0</v>
      </c>
      <c r="G12">
        <v>60000.0</v>
      </c>
      <c r="H12">
        <v>50000.0</v>
      </c>
      <c r="I12">
        <f>F12-H12</f>
        <v>550000.0</v>
      </c>
      <c r="J12">
        <f>D12-E12-G12-H12</f>
        <v>40000.0</v>
      </c>
    </row>
    <row r="13" spans="8:8">
      <c r="A13" s="2" t="s">
        <v>11</v>
      </c>
      <c r="B13" s="2">
        <v>7.85516537E8</v>
      </c>
      <c r="C13" s="3" t="s">
        <v>50</v>
      </c>
      <c r="D13" s="4">
        <v>200000.0</v>
      </c>
      <c r="E13">
        <v>50000.0</v>
      </c>
      <c r="F13">
        <v>705000.0</v>
      </c>
      <c r="G13">
        <v>70500.0</v>
      </c>
      <c r="H13">
        <v>50000.0</v>
      </c>
      <c r="I13">
        <f>F13-H13</f>
        <v>655000.0</v>
      </c>
      <c r="J13">
        <f>D13-E13-G13-H13</f>
        <v>29500.0</v>
      </c>
    </row>
    <row r="14" spans="8:8">
      <c r="A14" s="2" t="s">
        <v>12</v>
      </c>
      <c r="B14" s="5">
        <v>7.8561492E8</v>
      </c>
      <c r="C14" s="3" t="s">
        <v>51</v>
      </c>
      <c r="D14" s="4">
        <v>220000.0</v>
      </c>
      <c r="E14">
        <v>50000.0</v>
      </c>
      <c r="F14">
        <v>460000.0</v>
      </c>
      <c r="G14">
        <v>44800.0</v>
      </c>
      <c r="H14">
        <v>50000.0</v>
      </c>
      <c r="I14">
        <f>F14-H14</f>
        <v>410000.0</v>
      </c>
      <c r="J14">
        <f>D14-E14-G14-H14</f>
        <v>75200.0</v>
      </c>
    </row>
    <row r="15" spans="8:8">
      <c r="A15" s="2" t="s">
        <v>13</v>
      </c>
      <c r="B15" s="5">
        <v>7.80589399E8</v>
      </c>
      <c r="C15" s="3" t="s">
        <v>52</v>
      </c>
      <c r="D15" s="4">
        <v>300000.0</v>
      </c>
      <c r="E15">
        <v>250000.0</v>
      </c>
      <c r="F15">
        <v>0.0</v>
      </c>
      <c r="G15">
        <v>0.0</v>
      </c>
      <c r="H15">
        <v>0.0</v>
      </c>
      <c r="I15">
        <f>F15-H15</f>
        <v>0.0</v>
      </c>
      <c r="J15">
        <f>D15-E15-G15-H15</f>
        <v>50000.0</v>
      </c>
    </row>
    <row r="16" spans="8:8">
      <c r="A16" s="2" t="s">
        <v>14</v>
      </c>
      <c r="B16" s="5">
        <v>7.74510171E8</v>
      </c>
      <c r="C16" s="3" t="s">
        <v>53</v>
      </c>
      <c r="D16" s="4">
        <v>200000.0</v>
      </c>
      <c r="E16">
        <v>0.0</v>
      </c>
      <c r="F16">
        <v>1367600.0</v>
      </c>
      <c r="G16">
        <v>0.0</v>
      </c>
      <c r="H16">
        <v>200000.0</v>
      </c>
      <c r="I16">
        <f>F16-H16</f>
        <v>1167600.0</v>
      </c>
      <c r="J16">
        <f>D16-E16-G16-H16</f>
        <v>0.0</v>
      </c>
    </row>
    <row r="17" spans="8:8">
      <c r="A17" s="2" t="s">
        <v>15</v>
      </c>
      <c r="B17" s="5">
        <v>7.65353098E8</v>
      </c>
      <c r="C17" s="3" t="s">
        <v>54</v>
      </c>
      <c r="D17" s="4">
        <v>300000.0</v>
      </c>
      <c r="E17">
        <v>50000.0</v>
      </c>
      <c r="F17">
        <v>976900.0</v>
      </c>
      <c r="G17">
        <v>50000.0</v>
      </c>
      <c r="H17">
        <v>50000.0</v>
      </c>
      <c r="I17">
        <f>F17-H17</f>
        <v>926900.0</v>
      </c>
      <c r="J17">
        <f>D17-E17-G17-H17</f>
        <v>150000.0</v>
      </c>
    </row>
    <row r="18" spans="8:8">
      <c r="A18" s="2" t="s">
        <v>16</v>
      </c>
      <c r="B18" s="5">
        <v>7.80119749E8</v>
      </c>
      <c r="C18" s="3" t="s">
        <v>55</v>
      </c>
      <c r="D18" s="4">
        <v>200000.0</v>
      </c>
      <c r="E18">
        <v>50000.0</v>
      </c>
      <c r="F18">
        <v>440000.0</v>
      </c>
      <c r="G18">
        <v>16100.0</v>
      </c>
      <c r="H18">
        <v>20000.0</v>
      </c>
      <c r="I18">
        <f>F18-H18</f>
        <v>420000.0</v>
      </c>
      <c r="J18">
        <f>D18-E18-G18-H18</f>
        <v>113900.0</v>
      </c>
    </row>
    <row r="19" spans="8:8">
      <c r="A19" s="2" t="s">
        <v>17</v>
      </c>
      <c r="B19" s="5">
        <v>7.82462736E8</v>
      </c>
      <c r="C19" s="3" t="s">
        <v>56</v>
      </c>
      <c r="D19" s="4">
        <v>200000.0</v>
      </c>
      <c r="E19">
        <v>175000.0</v>
      </c>
      <c r="F19">
        <v>15000.0</v>
      </c>
      <c r="G19">
        <v>800.0</v>
      </c>
      <c r="H19">
        <v>0.0</v>
      </c>
      <c r="I19">
        <f>F19-H19</f>
        <v>15000.0</v>
      </c>
      <c r="J19">
        <f>D19-E19-G19-H19</f>
        <v>24200.0</v>
      </c>
    </row>
    <row r="20" spans="8:8">
      <c r="A20" s="2" t="s">
        <v>18</v>
      </c>
      <c r="B20" s="8">
        <v>7.60048591E8</v>
      </c>
      <c r="C20" s="3" t="s">
        <v>57</v>
      </c>
      <c r="D20" s="4">
        <v>200000.0</v>
      </c>
      <c r="E20">
        <v>50000.0</v>
      </c>
      <c r="F20">
        <v>610000.0</v>
      </c>
      <c r="G20">
        <v>56200.0</v>
      </c>
      <c r="H20">
        <v>60000.0</v>
      </c>
      <c r="I20">
        <f>F20-H20</f>
        <v>550000.0</v>
      </c>
      <c r="J20">
        <f>D20-E20-G20-H20</f>
        <v>33800.0</v>
      </c>
    </row>
    <row r="21" spans="8:8">
      <c r="A21" s="2" t="s">
        <v>19</v>
      </c>
      <c r="B21" s="6">
        <v>7.82782409E8</v>
      </c>
      <c r="C21" s="3" t="s">
        <v>58</v>
      </c>
      <c r="D21" s="4">
        <v>200000.0</v>
      </c>
      <c r="E21">
        <v>50000.0</v>
      </c>
      <c r="F21">
        <v>710000.0</v>
      </c>
      <c r="G21">
        <v>70400.0</v>
      </c>
      <c r="H21">
        <v>0.0</v>
      </c>
      <c r="I21">
        <f>F21-H21</f>
        <v>710000.0</v>
      </c>
      <c r="J21">
        <f>D21-E21-G21-H21</f>
        <v>79600.0</v>
      </c>
    </row>
    <row r="22" spans="8:8">
      <c r="A22" s="2" t="s">
        <v>20</v>
      </c>
      <c r="B22" s="6">
        <v>7.54688731E8</v>
      </c>
      <c r="C22" s="3" t="s">
        <v>59</v>
      </c>
      <c r="D22" s="4">
        <v>200000.0</v>
      </c>
      <c r="E22">
        <v>50000.0</v>
      </c>
      <c r="F22">
        <v>460000.0</v>
      </c>
      <c r="G22">
        <v>42900.0</v>
      </c>
      <c r="H22">
        <v>0.0</v>
      </c>
      <c r="I22">
        <v>460000.0</v>
      </c>
      <c r="J22">
        <f>D22-E22-G22-H22</f>
        <v>107100.0</v>
      </c>
    </row>
    <row r="23" spans="8:8">
      <c r="A23" s="9" t="s">
        <v>108</v>
      </c>
      <c r="B23" s="10">
        <v>7.51590239E8</v>
      </c>
      <c r="C23" s="11" t="s">
        <v>60</v>
      </c>
      <c r="D23" s="4">
        <v>200000.0</v>
      </c>
      <c r="E23">
        <v>150000.0</v>
      </c>
      <c r="F23">
        <v>400000.0</v>
      </c>
      <c r="G23">
        <v>27000.0</v>
      </c>
      <c r="H23">
        <v>0.0</v>
      </c>
      <c r="I23">
        <f>F23-H23</f>
        <v>400000.0</v>
      </c>
      <c r="J23">
        <f>D23-E23-G23-H23</f>
        <v>23000.0</v>
      </c>
    </row>
    <row r="24" spans="8:8" ht="20.45" customHeight="1">
      <c r="A24" s="9"/>
      <c r="B24" s="10"/>
      <c r="C24" s="11"/>
      <c r="D24" s="4"/>
      <c r="E24"/>
      <c r="F24">
        <v>1100000.0</v>
      </c>
      <c r="H24">
        <v>0.0</v>
      </c>
      <c r="I24">
        <f>F24-H24</f>
        <v>1100000.0</v>
      </c>
      <c r="J24">
        <f>D24-E24-G24-H24</f>
        <v>0.0</v>
      </c>
    </row>
    <row r="25" spans="8:8">
      <c r="A25" t="s">
        <v>72</v>
      </c>
      <c r="B25"/>
      <c r="C25" t="s">
        <v>122</v>
      </c>
      <c r="D25">
        <v>0.0</v>
      </c>
      <c r="E25">
        <v>2000000.0</v>
      </c>
      <c r="F25">
        <v>0.0</v>
      </c>
      <c r="H25">
        <v>0.0</v>
      </c>
      <c r="I25">
        <f>F25-H25</f>
        <v>0.0</v>
      </c>
      <c r="J25">
        <v>0.0</v>
      </c>
    </row>
    <row r="26" spans="8:8">
      <c r="A26" t="s">
        <v>117</v>
      </c>
      <c r="B26">
        <v>7.56838488E8</v>
      </c>
      <c r="C26" t="s">
        <v>120</v>
      </c>
      <c r="D26">
        <v>200000.0</v>
      </c>
      <c r="E26">
        <v>50000.0</v>
      </c>
      <c r="F26">
        <v>0.0</v>
      </c>
      <c r="H26">
        <v>0.0</v>
      </c>
      <c r="I26">
        <f>F26-H26</f>
        <v>0.0</v>
      </c>
      <c r="J26">
        <f>D26-E26-G26-H26</f>
        <v>150000.0</v>
      </c>
    </row>
    <row r="27" spans="8:8">
      <c r="A27" t="s">
        <v>118</v>
      </c>
      <c r="B27">
        <v>7.05737084E8</v>
      </c>
      <c r="C27" t="s">
        <v>121</v>
      </c>
      <c r="D27">
        <v>200000.0</v>
      </c>
      <c r="E27">
        <v>50000.0</v>
      </c>
      <c r="F27">
        <v>300000.0</v>
      </c>
      <c r="H27">
        <v>0.0</v>
      </c>
      <c r="I27">
        <f>F27-H27</f>
        <v>300000.0</v>
      </c>
      <c r="J27">
        <f>D27-E27-G27-H27</f>
        <v>150000.0</v>
      </c>
    </row>
    <row r="28" spans="8:8">
      <c r="A28" t="s">
        <v>140</v>
      </c>
      <c r="B28"/>
      <c r="C28" t="s">
        <v>83</v>
      </c>
      <c r="D28">
        <v>0.0</v>
      </c>
      <c r="E28">
        <v>300000.0</v>
      </c>
      <c r="I28">
        <f>F28-H28</f>
        <v>0.0</v>
      </c>
      <c r="J28">
        <v>0.0</v>
      </c>
    </row>
    <row r="29" spans="8:8">
      <c r="A29" t="s">
        <v>124</v>
      </c>
      <c r="B29"/>
      <c r="D29">
        <v>1000000.0</v>
      </c>
      <c r="E29">
        <v>50000.0</v>
      </c>
      <c r="F29">
        <v>500000.0</v>
      </c>
      <c r="G29">
        <v>50000.0</v>
      </c>
      <c r="H29">
        <v>0.0</v>
      </c>
      <c r="I29">
        <f>F29-H29</f>
        <v>500000.0</v>
      </c>
      <c r="J29">
        <f>D29-E29-G29-H29</f>
        <v>900000.0</v>
      </c>
    </row>
    <row r="30" spans="8:8" ht="16.4">
      <c r="A30" s="1" t="s">
        <v>114</v>
      </c>
      <c r="B30" s="1"/>
      <c r="D30" s="1">
        <f>SUM(D2:D29)</f>
        <v>6080000.0</v>
      </c>
      <c r="E30" s="1">
        <f>SUM(E2:E29)</f>
        <v>4050000.0</v>
      </c>
      <c r="F30" s="1">
        <f>SUM(F2:F29)</f>
        <v>1.30395E7</v>
      </c>
      <c r="G30" s="1">
        <f>SUM(G2:G29)</f>
        <v>892500.0</v>
      </c>
      <c r="H30" s="1">
        <f>SUM(H2:H29)</f>
        <v>730000.0</v>
      </c>
      <c r="I30" s="1">
        <f>SUM(I2:I29)</f>
        <v>1.23095E7</v>
      </c>
      <c r="J30" s="1">
        <f>SUM(J2:J29)</f>
        <v>2707500.0</v>
      </c>
    </row>
    <row r="33" spans="8:8">
      <c r="B33" s="1" t="s">
        <v>141</v>
      </c>
      <c r="C33" s="1">
        <f>D30-J30</f>
        <v>3372500.0</v>
      </c>
    </row>
    <row r="34" spans="8:8">
      <c r="B34" s="1" t="s">
        <v>140</v>
      </c>
      <c r="C34" s="25">
        <v>300000.0</v>
      </c>
    </row>
    <row r="35" spans="8:8">
      <c r="B35" s="1" t="s">
        <v>142</v>
      </c>
      <c r="C35" s="1">
        <v>2000000.0</v>
      </c>
      <c r="D35"/>
    </row>
    <row r="36" spans="8:8">
      <c r="B36" s="26" t="s">
        <v>114</v>
      </c>
      <c r="C36" s="26">
        <f>SUM(C33:C35)</f>
        <v>5672500.0</v>
      </c>
      <c r="F36"/>
    </row>
    <row r="37" spans="8:8">
      <c r="F37"/>
    </row>
    <row r="38" spans="8:8">
      <c r="C38" s="27" t="s">
        <v>154</v>
      </c>
      <c r="E38"/>
    </row>
    <row r="39" spans="8:8">
      <c r="C39" s="27" t="s">
        <v>155</v>
      </c>
      <c r="D39"/>
      <c r="E39"/>
    </row>
    <row r="40" spans="8:8">
      <c r="D40"/>
      <c r="F40"/>
    </row>
    <row r="43" spans="8:8">
      <c r="E43"/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AY44"/>
  <sheetViews>
    <sheetView workbookViewId="0" topLeftCell="E16" zoomScale="81">
      <selection activeCell="G41" sqref="G41"/>
    </sheetView>
  </sheetViews>
  <sheetFormatPr defaultRowHeight="16.25" defaultColWidth="10"/>
  <cols>
    <col min="1" max="1" customWidth="1" width="18.0625" style="0"/>
    <col min="2" max="2" customWidth="1" width="19.121094" style="0"/>
    <col min="3" max="3" customWidth="1" width="15.3125" style="0"/>
    <col min="4" max="4" customWidth="1" width="13.5" style="0"/>
    <col min="5" max="5" customWidth="1" width="15.5" style="0"/>
    <col min="6" max="6" customWidth="1" width="13.621094" style="0"/>
    <col min="7" max="7" customWidth="1" width="15.3125" style="0"/>
    <col min="8" max="8" customWidth="1" width="14.5" style="0"/>
    <col min="9" max="9" customWidth="1" width="15.621094" style="0"/>
    <col min="10" max="10" customWidth="1" width="21.003906" style="0"/>
  </cols>
  <sheetData>
    <row r="1" spans="8:8">
      <c r="A1" s="1" t="s">
        <v>94</v>
      </c>
      <c r="B1" s="1" t="s">
        <v>95</v>
      </c>
      <c r="C1" s="1" t="s">
        <v>109</v>
      </c>
      <c r="D1" s="1" t="s">
        <v>96</v>
      </c>
      <c r="E1" s="1" t="s">
        <v>128</v>
      </c>
      <c r="F1" s="1" t="s">
        <v>129</v>
      </c>
      <c r="G1" s="1" t="s">
        <v>68</v>
      </c>
      <c r="H1" s="1" t="s">
        <v>130</v>
      </c>
      <c r="I1" s="1" t="s">
        <v>131</v>
      </c>
      <c r="J1" s="1" t="s">
        <v>132</v>
      </c>
    </row>
    <row r="2" spans="8:8">
      <c r="A2" s="2" t="s">
        <v>0</v>
      </c>
      <c r="B2" s="2">
        <v>7.44489646E8</v>
      </c>
      <c r="C2" s="3" t="s">
        <v>144</v>
      </c>
      <c r="D2" s="4">
        <v>200000.0</v>
      </c>
      <c r="E2">
        <v>50000.0</v>
      </c>
      <c r="F2">
        <v>745000.0</v>
      </c>
      <c r="G2">
        <v>74500.0</v>
      </c>
      <c r="H2">
        <v>50000.0</v>
      </c>
      <c r="I2">
        <f>F2-H2</f>
        <v>695000.0</v>
      </c>
      <c r="J2">
        <f>D2-E2-G2-H2</f>
        <v>25500.0</v>
      </c>
    </row>
    <row r="3" spans="8:8">
      <c r="A3" s="2" t="s">
        <v>1</v>
      </c>
      <c r="B3" s="5">
        <v>7.88383588E8</v>
      </c>
      <c r="C3" s="3" t="s">
        <v>120</v>
      </c>
      <c r="D3" s="4">
        <v>250000.0</v>
      </c>
      <c r="E3">
        <v>100000.0</v>
      </c>
      <c r="F3">
        <v>1000000.0</v>
      </c>
      <c r="G3">
        <v>70000.0</v>
      </c>
      <c r="H3">
        <v>50000.0</v>
      </c>
      <c r="I3">
        <f>F3-H3</f>
        <v>950000.0</v>
      </c>
      <c r="J3">
        <f>D3-E3-G3-H3</f>
        <v>30000.0</v>
      </c>
    </row>
    <row r="4" spans="8:8" ht="26.2">
      <c r="A4" s="2" t="s">
        <v>2</v>
      </c>
      <c r="B4" s="5">
        <v>7.72796255E8</v>
      </c>
      <c r="C4" s="3" t="s">
        <v>41</v>
      </c>
      <c r="D4" s="4">
        <v>200000.0</v>
      </c>
      <c r="E4">
        <v>0.0</v>
      </c>
      <c r="F4">
        <v>0.0</v>
      </c>
      <c r="G4">
        <v>0.0</v>
      </c>
      <c r="H4">
        <v>0.0</v>
      </c>
      <c r="I4">
        <f>F4-H4</f>
        <v>0.0</v>
      </c>
      <c r="J4">
        <f>D4-E4-G4-H4</f>
        <v>200000.0</v>
      </c>
    </row>
    <row r="5" spans="8:8">
      <c r="A5" s="2" t="s">
        <v>3</v>
      </c>
      <c r="B5" s="2" t="s">
        <v>37</v>
      </c>
      <c r="C5" s="3" t="s">
        <v>42</v>
      </c>
      <c r="D5" s="4">
        <v>150000.0</v>
      </c>
      <c r="E5">
        <v>50000.0</v>
      </c>
      <c r="F5">
        <v>500000.0</v>
      </c>
      <c r="G5">
        <v>10000.0</v>
      </c>
      <c r="H5">
        <v>50000.0</v>
      </c>
      <c r="I5">
        <f>F5-H5</f>
        <v>450000.0</v>
      </c>
      <c r="J5">
        <f>D5-E5-G5-H5</f>
        <v>40000.0</v>
      </c>
    </row>
    <row r="6" spans="8:8" ht="26.2">
      <c r="A6" s="2" t="s">
        <v>4</v>
      </c>
      <c r="B6" s="6"/>
      <c r="C6" s="3" t="s">
        <v>43</v>
      </c>
      <c r="D6" s="4">
        <v>0.0</v>
      </c>
      <c r="E6">
        <v>50000.0</v>
      </c>
      <c r="F6">
        <v>500000.0</v>
      </c>
      <c r="G6">
        <v>35000.0</v>
      </c>
      <c r="H6">
        <v>0.0</v>
      </c>
      <c r="I6">
        <f>F6-H6</f>
        <v>500000.0</v>
      </c>
      <c r="J6">
        <v>0.0</v>
      </c>
    </row>
    <row r="7" spans="8:8">
      <c r="A7" s="2" t="s">
        <v>5</v>
      </c>
      <c r="B7" s="6">
        <v>7.68861889E8</v>
      </c>
      <c r="C7" s="3" t="s">
        <v>44</v>
      </c>
      <c r="D7" s="4">
        <v>230000.0</v>
      </c>
      <c r="E7">
        <v>50000.0</v>
      </c>
      <c r="F7">
        <v>660000.0</v>
      </c>
      <c r="G7">
        <v>64800.0</v>
      </c>
      <c r="H7">
        <v>80000.0</v>
      </c>
      <c r="I7">
        <f>F7-H7</f>
        <v>580000.0</v>
      </c>
      <c r="J7">
        <f>D7-E7-G7-H7</f>
        <v>35200.0</v>
      </c>
    </row>
    <row r="8" spans="8:8" ht="26.2">
      <c r="A8" s="2" t="s">
        <v>6</v>
      </c>
      <c r="B8" s="2" t="s">
        <v>38</v>
      </c>
      <c r="C8" s="3" t="s">
        <v>45</v>
      </c>
      <c r="D8" s="4">
        <v>230000.0</v>
      </c>
      <c r="E8">
        <v>100000.0</v>
      </c>
      <c r="F8">
        <v>540000.0</v>
      </c>
      <c r="G8">
        <v>52300.0</v>
      </c>
      <c r="H8">
        <v>45000.0</v>
      </c>
      <c r="I8">
        <f>F8-H8</f>
        <v>495000.0</v>
      </c>
      <c r="J8">
        <f>D8-E8-G8-H8</f>
        <v>32700.0</v>
      </c>
    </row>
    <row r="9" spans="8:8">
      <c r="A9" s="2" t="s">
        <v>7</v>
      </c>
      <c r="B9" s="5">
        <v>7.83073573E8</v>
      </c>
      <c r="C9" s="3" t="s">
        <v>46</v>
      </c>
      <c r="D9" s="4">
        <v>200000.0</v>
      </c>
      <c r="E9">
        <v>100000.0</v>
      </c>
      <c r="F9">
        <v>270000.0</v>
      </c>
      <c r="G9">
        <v>27000.0</v>
      </c>
      <c r="H9">
        <v>50000.0</v>
      </c>
      <c r="I9">
        <f>F9-H9</f>
        <v>220000.0</v>
      </c>
      <c r="J9">
        <f>D9-E9-G9-H9</f>
        <v>23000.0</v>
      </c>
    </row>
    <row r="10" spans="8:8" ht="26.2">
      <c r="A10" s="2" t="s">
        <v>8</v>
      </c>
      <c r="B10" s="5">
        <v>7.88134549E8</v>
      </c>
      <c r="C10" s="7" t="s">
        <v>47</v>
      </c>
      <c r="D10" s="4">
        <v>200000.0</v>
      </c>
      <c r="E10">
        <v>0.0</v>
      </c>
      <c r="F10">
        <v>520000.0</v>
      </c>
      <c r="G10">
        <v>50000.0</v>
      </c>
      <c r="H10">
        <v>150000.0</v>
      </c>
      <c r="I10">
        <f>F10-H10</f>
        <v>370000.0</v>
      </c>
      <c r="J10">
        <f>D10-E10-G10-H10</f>
        <v>0.0</v>
      </c>
    </row>
    <row r="11" spans="8:8">
      <c r="A11" s="2" t="s">
        <v>9</v>
      </c>
      <c r="B11" s="5">
        <v>7.82462736E8</v>
      </c>
      <c r="C11" s="7" t="s">
        <v>48</v>
      </c>
      <c r="D11" s="4">
        <v>200000.0</v>
      </c>
      <c r="E11">
        <v>150000.0</v>
      </c>
      <c r="F11">
        <v>100000.0</v>
      </c>
      <c r="G11">
        <v>10000.0</v>
      </c>
      <c r="H11">
        <v>0.0</v>
      </c>
      <c r="I11">
        <f>F11-H11</f>
        <v>100000.0</v>
      </c>
      <c r="J11">
        <f>D11-E11-G11-H11</f>
        <v>40000.0</v>
      </c>
    </row>
    <row r="12" spans="8:8">
      <c r="A12" s="2" t="s">
        <v>10</v>
      </c>
      <c r="B12" s="5">
        <v>7.78366202E8</v>
      </c>
      <c r="C12" s="3" t="s">
        <v>49</v>
      </c>
      <c r="D12" s="4">
        <v>200000.0</v>
      </c>
      <c r="E12">
        <v>50000.0</v>
      </c>
      <c r="F12">
        <v>680000.0</v>
      </c>
      <c r="G12">
        <v>63000.0</v>
      </c>
      <c r="H12">
        <v>50000.0</v>
      </c>
      <c r="I12">
        <f>F12-H12</f>
        <v>630000.0</v>
      </c>
      <c r="J12">
        <f>D12-E12-G12-H12</f>
        <v>37000.0</v>
      </c>
    </row>
    <row r="13" spans="8:8" ht="26.2">
      <c r="A13" s="2" t="s">
        <v>11</v>
      </c>
      <c r="B13" s="2">
        <v>7.85516537E8</v>
      </c>
      <c r="C13" s="3" t="s">
        <v>50</v>
      </c>
      <c r="D13" s="4">
        <v>200000.0</v>
      </c>
      <c r="E13">
        <v>50000.0</v>
      </c>
      <c r="F13">
        <v>755000.0</v>
      </c>
      <c r="G13">
        <v>65500.0</v>
      </c>
      <c r="H13">
        <v>50000.0</v>
      </c>
      <c r="I13">
        <f>F13-H13</f>
        <v>705000.0</v>
      </c>
      <c r="J13">
        <f>D13-E13-G13-H13</f>
        <v>34500.0</v>
      </c>
    </row>
    <row r="14" spans="8:8">
      <c r="A14" s="2" t="s">
        <v>12</v>
      </c>
      <c r="B14" s="5">
        <v>7.8561492E8</v>
      </c>
      <c r="C14" s="3" t="s">
        <v>51</v>
      </c>
      <c r="D14" s="4">
        <v>220000.0</v>
      </c>
      <c r="E14">
        <v>100000.0</v>
      </c>
      <c r="F14">
        <v>430000.0</v>
      </c>
      <c r="G14">
        <v>42700.0</v>
      </c>
      <c r="H14">
        <v>50000.0</v>
      </c>
      <c r="I14">
        <f>F14-H14</f>
        <v>380000.0</v>
      </c>
      <c r="J14">
        <f>D14-E14-G14-H14</f>
        <v>27300.0</v>
      </c>
    </row>
    <row r="15" spans="8:8">
      <c r="A15" s="2" t="s">
        <v>13</v>
      </c>
      <c r="B15" s="5">
        <v>7.80589399E8</v>
      </c>
      <c r="C15" s="3" t="s">
        <v>52</v>
      </c>
      <c r="D15" s="4">
        <v>300000.0</v>
      </c>
      <c r="E15">
        <v>300000.0</v>
      </c>
      <c r="F15">
        <v>0.0</v>
      </c>
      <c r="G15">
        <v>0.0</v>
      </c>
      <c r="H15"/>
      <c r="I15">
        <f>F15-H15</f>
        <v>0.0</v>
      </c>
      <c r="J15">
        <f>D15-E15-G15-H15</f>
        <v>0.0</v>
      </c>
    </row>
    <row r="16" spans="8:8" ht="26.2">
      <c r="A16" s="2" t="s">
        <v>14</v>
      </c>
      <c r="B16" s="5">
        <v>7.74510171E8</v>
      </c>
      <c r="C16" s="3" t="s">
        <v>53</v>
      </c>
      <c r="D16" s="4">
        <v>0.0</v>
      </c>
      <c r="E16">
        <v>0.0</v>
      </c>
      <c r="F16">
        <v>1167600.0</v>
      </c>
      <c r="G16">
        <v>0.0</v>
      </c>
      <c r="H16">
        <v>0.0</v>
      </c>
      <c r="I16">
        <f>F16-H16</f>
        <v>1167600.0</v>
      </c>
      <c r="J16">
        <f>D16-E16-G16-H16</f>
        <v>0.0</v>
      </c>
    </row>
    <row r="17" spans="8:8">
      <c r="A17" s="2" t="s">
        <v>15</v>
      </c>
      <c r="B17" s="5">
        <v>7.65353098E8</v>
      </c>
      <c r="C17" s="3" t="s">
        <v>54</v>
      </c>
      <c r="D17" s="4">
        <v>300000.0</v>
      </c>
      <c r="E17">
        <v>50000.0</v>
      </c>
      <c r="F17">
        <v>626900.0</v>
      </c>
      <c r="G17">
        <v>50000.0</v>
      </c>
      <c r="H17">
        <v>200000.0</v>
      </c>
      <c r="I17">
        <f>F17-H17</f>
        <v>426900.0</v>
      </c>
      <c r="J17">
        <f>D17-E17-G17-H17</f>
        <v>0.0</v>
      </c>
    </row>
    <row r="18" spans="8:8" ht="26.2">
      <c r="A18" s="2" t="s">
        <v>16</v>
      </c>
      <c r="B18" s="5">
        <v>7.80119749E8</v>
      </c>
      <c r="C18" s="3" t="s">
        <v>55</v>
      </c>
      <c r="D18" s="4">
        <v>200000.0</v>
      </c>
      <c r="E18">
        <v>0.0</v>
      </c>
      <c r="F18">
        <v>420000.0</v>
      </c>
      <c r="G18">
        <v>10000.0</v>
      </c>
      <c r="H18">
        <v>50000.0</v>
      </c>
      <c r="I18">
        <f>F18-H18</f>
        <v>370000.0</v>
      </c>
      <c r="J18">
        <f>D18-E18-G18-H18</f>
        <v>140000.0</v>
      </c>
    </row>
    <row r="19" spans="8:8">
      <c r="A19" s="2" t="s">
        <v>17</v>
      </c>
      <c r="B19" s="5">
        <v>7.82462736E8</v>
      </c>
      <c r="C19" s="3" t="s">
        <v>56</v>
      </c>
      <c r="D19" s="4">
        <v>200000.0</v>
      </c>
      <c r="E19">
        <v>175000.0</v>
      </c>
      <c r="F19">
        <v>30000.0</v>
      </c>
      <c r="G19">
        <v>2500.0</v>
      </c>
      <c r="H19">
        <v>0.0</v>
      </c>
      <c r="I19">
        <f>F19-H19</f>
        <v>30000.0</v>
      </c>
      <c r="J19">
        <f>D19-E19-G19-H19</f>
        <v>22500.0</v>
      </c>
    </row>
    <row r="20" spans="8:8">
      <c r="A20" s="2" t="s">
        <v>18</v>
      </c>
      <c r="B20" s="8">
        <v>7.60048591E8</v>
      </c>
      <c r="C20" s="3" t="s">
        <v>57</v>
      </c>
      <c r="D20" s="4">
        <v>230000.0</v>
      </c>
      <c r="E20">
        <v>50000.0</v>
      </c>
      <c r="F20">
        <v>600000.0</v>
      </c>
      <c r="G20">
        <v>58600.0</v>
      </c>
      <c r="H20">
        <v>80000.0</v>
      </c>
      <c r="I20">
        <f>F20-H20</f>
        <v>520000.0</v>
      </c>
      <c r="J20">
        <f>D20-E20-G20-H20</f>
        <v>41400.0</v>
      </c>
    </row>
    <row r="21" spans="8:8" ht="15.35">
      <c r="A21" s="2" t="s">
        <v>19</v>
      </c>
      <c r="B21" s="6">
        <v>7.82782409E8</v>
      </c>
      <c r="C21" s="3" t="s">
        <v>58</v>
      </c>
      <c r="D21" s="4">
        <v>200000.0</v>
      </c>
      <c r="E21">
        <v>50000.0</v>
      </c>
      <c r="F21">
        <v>710000.0</v>
      </c>
      <c r="G21">
        <v>70000.0</v>
      </c>
      <c r="H21">
        <v>30000.0</v>
      </c>
      <c r="I21">
        <f>F21-H21</f>
        <v>680000.0</v>
      </c>
      <c r="J21">
        <f>D21-E21-G21-H21</f>
        <v>50000.0</v>
      </c>
    </row>
    <row r="22" spans="8:8" ht="26.2">
      <c r="A22" s="2" t="s">
        <v>20</v>
      </c>
      <c r="B22" s="6">
        <v>7.54688731E8</v>
      </c>
      <c r="C22" s="3" t="s">
        <v>59</v>
      </c>
      <c r="D22" s="4">
        <v>200000.0</v>
      </c>
      <c r="E22">
        <v>50000.0</v>
      </c>
      <c r="F22">
        <v>460000.0</v>
      </c>
      <c r="G22">
        <v>46000.0</v>
      </c>
      <c r="H22">
        <v>30000.0</v>
      </c>
      <c r="I22">
        <f>F22-H22</f>
        <v>430000.0</v>
      </c>
      <c r="J22">
        <f>D22-E22-G22-H22</f>
        <v>74000.0</v>
      </c>
    </row>
    <row r="23" spans="8:8">
      <c r="A23" s="9" t="s">
        <v>108</v>
      </c>
      <c r="B23" s="10">
        <v>7.51590239E8</v>
      </c>
      <c r="C23" s="11" t="s">
        <v>60</v>
      </c>
      <c r="D23" s="4">
        <v>200000.0</v>
      </c>
      <c r="E23">
        <v>50000.0</v>
      </c>
      <c r="F23">
        <v>590000.0</v>
      </c>
      <c r="G23">
        <v>50000.0</v>
      </c>
      <c r="H23">
        <v>50000.0</v>
      </c>
      <c r="I23">
        <f>F23-H23</f>
        <v>540000.0</v>
      </c>
      <c r="J23">
        <f>D23-E23-G23-H23</f>
        <v>50000.0</v>
      </c>
    </row>
    <row r="24" spans="8:8">
      <c r="A24" s="9" t="s">
        <v>145</v>
      </c>
      <c r="B24" s="10"/>
      <c r="C24" s="11" t="s">
        <v>146</v>
      </c>
      <c r="D24" s="4">
        <v>400000.0</v>
      </c>
      <c r="E24">
        <v>150000.0</v>
      </c>
      <c r="F24">
        <v>0.0</v>
      </c>
      <c r="G24">
        <v>0.0</v>
      </c>
      <c r="H24">
        <v>0.0</v>
      </c>
      <c r="I24">
        <f>F24-H24</f>
        <v>0.0</v>
      </c>
      <c r="J24">
        <f>D24-E24-G24-H24</f>
        <v>250000.0</v>
      </c>
    </row>
    <row r="25" spans="8:8" ht="26.2">
      <c r="A25" t="s">
        <v>72</v>
      </c>
      <c r="C25" t="s">
        <v>122</v>
      </c>
      <c r="D25">
        <v>0.0</v>
      </c>
      <c r="E25">
        <v>2000000.0</v>
      </c>
      <c r="F25">
        <v>0.0</v>
      </c>
      <c r="G25">
        <v>0.0</v>
      </c>
      <c r="H25">
        <v>0.0</v>
      </c>
      <c r="I25">
        <f>F25-H25</f>
        <v>0.0</v>
      </c>
    </row>
    <row r="26" spans="8:8" ht="26.2">
      <c r="A26" t="s">
        <v>117</v>
      </c>
      <c r="B26">
        <v>7.56838488E8</v>
      </c>
      <c r="C26" t="s">
        <v>120</v>
      </c>
      <c r="D26">
        <v>200000.0</v>
      </c>
      <c r="E26">
        <v>50000.0</v>
      </c>
      <c r="F26">
        <v>250000.0</v>
      </c>
      <c r="G26">
        <v>20000.0</v>
      </c>
      <c r="H26">
        <v>20000.0</v>
      </c>
      <c r="I26">
        <f>F26-H26</f>
        <v>230000.0</v>
      </c>
      <c r="J26">
        <f>D26-E26-G26-H26</f>
        <v>110000.0</v>
      </c>
    </row>
    <row r="27" spans="8:8" ht="26.2">
      <c r="A27" t="s">
        <v>118</v>
      </c>
      <c r="B27">
        <v>7.05737084E8</v>
      </c>
      <c r="C27" t="s">
        <v>121</v>
      </c>
      <c r="D27">
        <v>230000.0</v>
      </c>
      <c r="E27">
        <v>50000.0</v>
      </c>
      <c r="F27">
        <v>300000.0</v>
      </c>
      <c r="G27">
        <v>30000.0</v>
      </c>
      <c r="H27">
        <v>0.0</v>
      </c>
      <c r="I27">
        <f>F27-H27</f>
        <v>300000.0</v>
      </c>
      <c r="J27">
        <f>D27-E27-G27-H27</f>
        <v>150000.0</v>
      </c>
    </row>
    <row r="28" spans="8:8">
      <c r="A28" t="s">
        <v>140</v>
      </c>
      <c r="C28" t="s">
        <v>83</v>
      </c>
      <c r="D28">
        <v>0.0</v>
      </c>
      <c r="E28">
        <v>300000.0</v>
      </c>
      <c r="F28">
        <v>300000.0</v>
      </c>
      <c r="G28">
        <v>30000.0</v>
      </c>
      <c r="H28">
        <v>0.0</v>
      </c>
      <c r="I28">
        <f>F28-H28</f>
        <v>300000.0</v>
      </c>
      <c r="J28">
        <v>0.0</v>
      </c>
    </row>
    <row r="29" spans="8:8">
      <c r="A29" t="s">
        <v>124</v>
      </c>
      <c r="D29">
        <v>1000000.0</v>
      </c>
      <c r="E29">
        <v>0.0</v>
      </c>
      <c r="F29">
        <v>1700000.0</v>
      </c>
      <c r="G29">
        <v>10000.0</v>
      </c>
      <c r="H29">
        <v>500000.0</v>
      </c>
      <c r="I29">
        <f>F29-H29</f>
        <v>1200000.0</v>
      </c>
      <c r="J29">
        <f>D29-E29-G29-H29</f>
        <v>490000.0</v>
      </c>
    </row>
    <row r="30" spans="8:8" ht="26.2">
      <c r="A30" s="1" t="s">
        <v>114</v>
      </c>
      <c r="D30" s="1">
        <f>SUM(D2:D29)</f>
        <v>6140000.0</v>
      </c>
      <c r="E30" s="1">
        <f>SUM(E2:E29)</f>
        <v>4125000.0</v>
      </c>
      <c r="F30" s="1">
        <f>SUM(F2:F29)</f>
        <v>1.38545E7</v>
      </c>
      <c r="G30" s="1">
        <f>SUM(G2:G29)</f>
        <v>941900.0</v>
      </c>
      <c r="H30" s="1">
        <f>SUM(H2:H29)</f>
        <v>1585000.0</v>
      </c>
      <c r="I30" s="1">
        <f>SUM(I2:I29)</f>
        <v>1.22695E7</v>
      </c>
      <c r="J30" s="1">
        <f>SUM(J2:J29)</f>
        <v>1903100.0</v>
      </c>
    </row>
    <row r="34" spans="8:8">
      <c r="F34" s="28" t="s">
        <v>150</v>
      </c>
      <c r="H34">
        <f>D30-J30</f>
        <v>4236900.0</v>
      </c>
    </row>
    <row r="35" spans="8:8">
      <c r="F35" s="28" t="s">
        <v>151</v>
      </c>
      <c r="H35">
        <v>2000000.0</v>
      </c>
      <c r="J35"/>
    </row>
    <row r="36" spans="8:8">
      <c r="F36" s="28" t="s">
        <v>152</v>
      </c>
      <c r="H36">
        <v>300000.0</v>
      </c>
      <c r="J36"/>
    </row>
    <row r="37" spans="8:8">
      <c r="F37" s="1" t="s">
        <v>114</v>
      </c>
      <c r="H37" s="1">
        <f>SUM(H34:H36)</f>
        <v>6536900.0</v>
      </c>
    </row>
    <row r="39" spans="8:8">
      <c r="J39"/>
    </row>
    <row r="42" spans="8:8" ht="18.7">
      <c r="J42"/>
    </row>
    <row r="44" spans="8:8">
      <c r="K44"/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L41"/>
  <sheetViews>
    <sheetView tabSelected="1" workbookViewId="0" zoomScale="101">
      <selection activeCell="B17" sqref="B17"/>
    </sheetView>
  </sheetViews>
  <sheetFormatPr defaultRowHeight="16.25" defaultColWidth="10"/>
  <cols>
    <col min="1" max="1" customWidth="1" width="17.5625" style="0"/>
    <col min="2" max="2" customWidth="1" width="17.941406" style="0"/>
    <col min="3" max="3" customWidth="1" width="15.371094" style="0"/>
    <col min="9" max="9" customWidth="1" width="15.097656" style="0"/>
    <col min="10" max="10" customWidth="1" width="17.503906" style="0"/>
  </cols>
  <sheetData>
    <row r="1" spans="8:8">
      <c r="A1" s="1" t="s">
        <v>94</v>
      </c>
      <c r="B1" s="1" t="s">
        <v>95</v>
      </c>
      <c r="C1" s="1" t="s">
        <v>109</v>
      </c>
      <c r="D1" s="1" t="s">
        <v>96</v>
      </c>
      <c r="E1" s="1" t="s">
        <v>158</v>
      </c>
      <c r="F1" s="1" t="s">
        <v>159</v>
      </c>
      <c r="G1" s="1" t="s">
        <v>68</v>
      </c>
      <c r="H1" s="1" t="s">
        <v>160</v>
      </c>
      <c r="I1" s="1" t="s">
        <v>131</v>
      </c>
      <c r="J1" s="1" t="s">
        <v>161</v>
      </c>
    </row>
    <row r="2" spans="8:8">
      <c r="A2" s="2" t="s">
        <v>0</v>
      </c>
      <c r="B2" s="2">
        <v>7.44489646E8</v>
      </c>
      <c r="C2" s="3" t="s">
        <v>144</v>
      </c>
      <c r="D2" s="4">
        <v>200000.0</v>
      </c>
      <c r="E2">
        <v>50000.0</v>
      </c>
      <c r="F2">
        <v>805000.0</v>
      </c>
      <c r="G2">
        <v>50000.0</v>
      </c>
      <c r="H2">
        <v>50000.0</v>
      </c>
      <c r="I2">
        <f>F2-H2</f>
        <v>755000.0</v>
      </c>
      <c r="J2">
        <f>D2-E2-G2-H2</f>
        <v>50000.0</v>
      </c>
    </row>
    <row r="3" spans="8:8">
      <c r="A3" s="2" t="s">
        <v>1</v>
      </c>
      <c r="B3" s="5">
        <v>7.88383588E8</v>
      </c>
      <c r="C3" s="3" t="s">
        <v>120</v>
      </c>
      <c r="D3" s="4">
        <v>250000.0</v>
      </c>
      <c r="E3">
        <v>50000.0</v>
      </c>
      <c r="F3">
        <v>950000.0</v>
      </c>
      <c r="G3">
        <v>75000.0</v>
      </c>
      <c r="H3">
        <v>0.0</v>
      </c>
      <c r="I3">
        <f>F3-H3</f>
        <v>950000.0</v>
      </c>
      <c r="J3">
        <f>D3-E3-G3-H3</f>
        <v>125000.0</v>
      </c>
    </row>
    <row r="4" spans="8:8" ht="16.95">
      <c r="A4" s="2" t="s">
        <v>2</v>
      </c>
      <c r="B4" s="5">
        <v>7.72796255E8</v>
      </c>
      <c r="C4" s="3" t="s">
        <v>41</v>
      </c>
      <c r="D4" s="4">
        <v>200000.0</v>
      </c>
      <c r="E4">
        <v>0.0</v>
      </c>
      <c r="F4">
        <v>0.0</v>
      </c>
      <c r="G4">
        <v>0.0</v>
      </c>
      <c r="H4">
        <v>0.0</v>
      </c>
      <c r="I4">
        <f>F4-H4</f>
        <v>0.0</v>
      </c>
      <c r="J4">
        <f>D4-E4-G4-H4</f>
        <v>200000.0</v>
      </c>
    </row>
    <row r="5" spans="8:8" ht="16.95">
      <c r="A5" s="2" t="s">
        <v>3</v>
      </c>
      <c r="B5" s="2" t="s">
        <v>37</v>
      </c>
      <c r="C5" s="3" t="s">
        <v>42</v>
      </c>
      <c r="D5" s="4">
        <v>150000.0</v>
      </c>
      <c r="E5">
        <v>50000.0</v>
      </c>
      <c r="F5">
        <v>450000.0</v>
      </c>
      <c r="G5">
        <v>40000.0</v>
      </c>
      <c r="H5">
        <v>50000.0</v>
      </c>
      <c r="I5">
        <f>F5-H5</f>
        <v>400000.0</v>
      </c>
      <c r="J5">
        <f>D5-E5-G5-H5</f>
        <v>10000.0</v>
      </c>
    </row>
    <row r="6" spans="8:8">
      <c r="A6" s="2" t="s">
        <v>4</v>
      </c>
      <c r="B6" s="6"/>
      <c r="C6" s="3" t="s">
        <v>43</v>
      </c>
      <c r="D6" s="4">
        <v>200000.0</v>
      </c>
      <c r="E6">
        <v>0.0</v>
      </c>
      <c r="F6">
        <v>450000.0</v>
      </c>
      <c r="G6">
        <v>0.0</v>
      </c>
      <c r="H6">
        <v>200000.0</v>
      </c>
      <c r="I6">
        <f>F6-H6</f>
        <v>250000.0</v>
      </c>
      <c r="J6">
        <f>D6-E6-G6-H6</f>
        <v>0.0</v>
      </c>
    </row>
    <row r="7" spans="8:8" ht="16.95">
      <c r="A7" s="2" t="s">
        <v>5</v>
      </c>
      <c r="B7" s="6">
        <v>7.68861889E8</v>
      </c>
      <c r="C7" s="3" t="s">
        <v>44</v>
      </c>
      <c r="D7" s="4">
        <v>230000.0</v>
      </c>
      <c r="E7">
        <v>50000.0</v>
      </c>
      <c r="F7">
        <v>610000.0</v>
      </c>
      <c r="G7">
        <v>50000.0</v>
      </c>
      <c r="H7">
        <v>50000.0</v>
      </c>
      <c r="I7">
        <f>F7-H7</f>
        <v>560000.0</v>
      </c>
      <c r="J7">
        <f>D7-E7-G7-H7</f>
        <v>80000.0</v>
      </c>
    </row>
    <row r="8" spans="8:8">
      <c r="A8" s="2" t="s">
        <v>6</v>
      </c>
      <c r="B8" s="2" t="s">
        <v>38</v>
      </c>
      <c r="C8" s="3" t="s">
        <v>45</v>
      </c>
      <c r="D8" s="4">
        <v>230000.0</v>
      </c>
      <c r="E8">
        <v>0.0</v>
      </c>
      <c r="F8">
        <v>515000.0</v>
      </c>
      <c r="G8">
        <v>40000.0</v>
      </c>
      <c r="H8">
        <v>100000.0</v>
      </c>
      <c r="I8">
        <f>F8-H8</f>
        <v>415000.0</v>
      </c>
      <c r="J8">
        <f>D8-E8-G8-H8</f>
        <v>90000.0</v>
      </c>
    </row>
    <row r="9" spans="8:8" ht="16.95">
      <c r="A9" s="2" t="s">
        <v>7</v>
      </c>
      <c r="B9" s="5">
        <v>7.83073573E8</v>
      </c>
      <c r="C9" s="3" t="s">
        <v>46</v>
      </c>
      <c r="D9" s="4">
        <v>200000.0</v>
      </c>
      <c r="E9">
        <v>100000.0</v>
      </c>
      <c r="F9">
        <v>290000.0</v>
      </c>
      <c r="G9">
        <v>20000.0</v>
      </c>
      <c r="H9">
        <v>80000.0</v>
      </c>
      <c r="I9">
        <f>F9-H9</f>
        <v>210000.0</v>
      </c>
      <c r="J9">
        <f>D9-E9-G9-H9</f>
        <v>0.0</v>
      </c>
    </row>
    <row r="10" spans="8:8">
      <c r="A10" s="2" t="s">
        <v>8</v>
      </c>
      <c r="B10" s="5">
        <v>7.06435181E8</v>
      </c>
      <c r="C10" s="7" t="s">
        <v>47</v>
      </c>
      <c r="D10" s="4">
        <v>200000.0</v>
      </c>
      <c r="E10">
        <v>50000.0</v>
      </c>
      <c r="F10">
        <v>370000.0</v>
      </c>
      <c r="G10">
        <v>30000.0</v>
      </c>
      <c r="H10">
        <v>0.0</v>
      </c>
      <c r="I10">
        <f>F10-H10</f>
        <v>370000.0</v>
      </c>
      <c r="J10">
        <f>D10-E10-G10-H10</f>
        <v>120000.0</v>
      </c>
    </row>
    <row r="11" spans="8:8" ht="16.95">
      <c r="A11" s="2" t="s">
        <v>9</v>
      </c>
      <c r="B11" s="5">
        <v>7.82462736E8</v>
      </c>
      <c r="C11" s="7" t="s">
        <v>48</v>
      </c>
      <c r="D11" s="4">
        <v>200000.0</v>
      </c>
      <c r="E11">
        <v>150000.0</v>
      </c>
      <c r="F11">
        <v>100000.0</v>
      </c>
      <c r="G11">
        <v>10000.0</v>
      </c>
      <c r="H11">
        <v>0.0</v>
      </c>
      <c r="I11">
        <f>F11-H11</f>
        <v>100000.0</v>
      </c>
      <c r="J11">
        <f>D11-E11-G11-H11</f>
        <v>40000.0</v>
      </c>
    </row>
    <row r="12" spans="8:8">
      <c r="A12" s="2" t="s">
        <v>10</v>
      </c>
      <c r="B12" s="5">
        <v>7.78366202E8</v>
      </c>
      <c r="C12" s="3" t="s">
        <v>49</v>
      </c>
      <c r="D12" s="4">
        <v>200000.0</v>
      </c>
      <c r="E12">
        <v>50000.0</v>
      </c>
      <c r="F12">
        <v>630000.0</v>
      </c>
      <c r="G12">
        <v>50000.0</v>
      </c>
      <c r="H12">
        <v>0.0</v>
      </c>
      <c r="I12">
        <f>F12-H12</f>
        <v>630000.0</v>
      </c>
      <c r="J12">
        <f>D12-E12-G12-H12</f>
        <v>100000.0</v>
      </c>
    </row>
    <row r="13" spans="8:8">
      <c r="A13" s="2" t="s">
        <v>11</v>
      </c>
      <c r="B13" s="2">
        <v>7.85516537E8</v>
      </c>
      <c r="C13" s="3" t="s">
        <v>50</v>
      </c>
      <c r="D13" s="4">
        <v>200000.0</v>
      </c>
      <c r="E13">
        <v>0.0</v>
      </c>
      <c r="F13">
        <v>705000.0</v>
      </c>
      <c r="G13">
        <v>50000.0</v>
      </c>
      <c r="H13">
        <v>0.0</v>
      </c>
      <c r="I13">
        <f>F13-H13</f>
        <v>705000.0</v>
      </c>
      <c r="J13">
        <f>D13-E13-G13-H13</f>
        <v>150000.0</v>
      </c>
    </row>
    <row r="14" spans="8:8">
      <c r="A14" s="2" t="s">
        <v>12</v>
      </c>
      <c r="B14" s="5">
        <v>7.8561492E8</v>
      </c>
      <c r="C14" s="3" t="s">
        <v>51</v>
      </c>
      <c r="D14" s="4">
        <v>220000.0</v>
      </c>
      <c r="E14">
        <v>80000.0</v>
      </c>
      <c r="F14">
        <v>380000.0</v>
      </c>
      <c r="G14">
        <v>30000.0</v>
      </c>
      <c r="H14">
        <v>50000.0</v>
      </c>
      <c r="I14">
        <f>F14-H14</f>
        <v>330000.0</v>
      </c>
      <c r="J14">
        <f>D14-E14-G14-H14</f>
        <v>60000.0</v>
      </c>
    </row>
    <row r="15" spans="8:8">
      <c r="A15" s="2" t="s">
        <v>13</v>
      </c>
      <c r="B15" s="5">
        <v>7.80589399E8</v>
      </c>
      <c r="C15" s="3" t="s">
        <v>52</v>
      </c>
      <c r="D15" s="4">
        <v>300000.0</v>
      </c>
      <c r="E15">
        <v>300000.0</v>
      </c>
      <c r="F15">
        <v>0.0</v>
      </c>
      <c r="G15">
        <v>0.0</v>
      </c>
      <c r="H15">
        <v>0.0</v>
      </c>
      <c r="I15">
        <f>F15-H15</f>
        <v>0.0</v>
      </c>
      <c r="J15">
        <f>D15-E15-G15-H15</f>
        <v>0.0</v>
      </c>
    </row>
    <row r="16" spans="8:8">
      <c r="A16" s="2" t="s">
        <v>14</v>
      </c>
      <c r="B16" s="5">
        <v>7.74510171E8</v>
      </c>
      <c r="C16" s="3" t="s">
        <v>53</v>
      </c>
      <c r="D16" s="4">
        <v>0.0</v>
      </c>
      <c r="E16">
        <v>0.0</v>
      </c>
      <c r="F16">
        <v>1167600.0</v>
      </c>
      <c r="G16">
        <v>0.0</v>
      </c>
      <c r="H16">
        <v>0.0</v>
      </c>
      <c r="I16">
        <f>F16-H16</f>
        <v>1167600.0</v>
      </c>
      <c r="J16">
        <f>D16-E16-G16-H16</f>
        <v>0.0</v>
      </c>
    </row>
    <row r="17" spans="8:8">
      <c r="A17" s="2" t="s">
        <v>15</v>
      </c>
      <c r="B17" s="5">
        <v>7.65353098E8</v>
      </c>
      <c r="C17" s="3" t="s">
        <v>54</v>
      </c>
      <c r="D17" s="4">
        <v>300000.0</v>
      </c>
      <c r="E17">
        <v>50000.0</v>
      </c>
      <c r="F17">
        <v>526900.0</v>
      </c>
      <c r="G17">
        <v>38000.0</v>
      </c>
      <c r="H17">
        <v>150000.0</v>
      </c>
      <c r="I17">
        <f>F17-H17</f>
        <v>376900.0</v>
      </c>
      <c r="J17">
        <f>D17-E17-G17-H17</f>
        <v>62000.0</v>
      </c>
    </row>
    <row r="18" spans="8:8">
      <c r="A18" s="2" t="s">
        <v>16</v>
      </c>
      <c r="B18" s="5">
        <v>7.80119749E8</v>
      </c>
      <c r="C18" s="3" t="s">
        <v>55</v>
      </c>
      <c r="D18" s="4">
        <v>200000.0</v>
      </c>
      <c r="E18">
        <v>50000.0</v>
      </c>
      <c r="F18">
        <v>370000.0</v>
      </c>
      <c r="G18">
        <v>30000.0</v>
      </c>
      <c r="H18">
        <v>30000.0</v>
      </c>
      <c r="I18">
        <f>F18-H18</f>
        <v>340000.0</v>
      </c>
      <c r="J18">
        <f>D18-E18-G18-H18</f>
        <v>90000.0</v>
      </c>
    </row>
    <row r="19" spans="8:8">
      <c r="A19" s="2" t="s">
        <v>17</v>
      </c>
      <c r="B19" s="5">
        <v>7.82462736E8</v>
      </c>
      <c r="C19" s="3" t="s">
        <v>56</v>
      </c>
      <c r="D19" s="4">
        <v>200000.0</v>
      </c>
      <c r="E19">
        <v>175000.0</v>
      </c>
      <c r="F19">
        <v>30000.0</v>
      </c>
      <c r="G19">
        <v>3000.0</v>
      </c>
      <c r="H19">
        <v>0.0</v>
      </c>
      <c r="I19">
        <f>F19-H19</f>
        <v>30000.0</v>
      </c>
      <c r="J19">
        <f>D19-E19-G19-H19</f>
        <v>22000.0</v>
      </c>
    </row>
    <row r="20" spans="8:8" ht="16.95">
      <c r="A20" s="2" t="s">
        <v>18</v>
      </c>
      <c r="B20" s="8">
        <v>7.60048591E8</v>
      </c>
      <c r="C20" s="3" t="s">
        <v>57</v>
      </c>
      <c r="D20" s="4">
        <v>230000.0</v>
      </c>
      <c r="E20">
        <v>75000.0</v>
      </c>
      <c r="F20">
        <v>520000.0</v>
      </c>
      <c r="G20">
        <v>40000.0</v>
      </c>
      <c r="H20">
        <v>50000.0</v>
      </c>
      <c r="I20">
        <f>F20-H20</f>
        <v>470000.0</v>
      </c>
      <c r="J20">
        <f>D20-E20-G20-H20</f>
        <v>65000.0</v>
      </c>
    </row>
    <row r="21" spans="8:8" ht="16.95">
      <c r="A21" s="2" t="s">
        <v>19</v>
      </c>
      <c r="B21" s="6">
        <v>7.61062284E8</v>
      </c>
      <c r="C21" s="3" t="s">
        <v>58</v>
      </c>
      <c r="D21" s="4">
        <v>200000.0</v>
      </c>
      <c r="E21">
        <v>50000.0</v>
      </c>
      <c r="F21">
        <v>680000.0</v>
      </c>
      <c r="G21">
        <v>18000.0</v>
      </c>
      <c r="H21">
        <v>80000.0</v>
      </c>
      <c r="I21">
        <f>F21-H21</f>
        <v>600000.0</v>
      </c>
      <c r="J21">
        <f>D21-E21-G21-H21</f>
        <v>52000.0</v>
      </c>
    </row>
    <row r="22" spans="8:8" ht="16.95">
      <c r="A22" s="2" t="s">
        <v>20</v>
      </c>
      <c r="B22" s="6">
        <v>7.8124627E8</v>
      </c>
      <c r="C22" s="3" t="s">
        <v>59</v>
      </c>
      <c r="D22" s="4">
        <v>230000.0</v>
      </c>
      <c r="E22">
        <v>50000.0</v>
      </c>
      <c r="F22">
        <v>450000.0</v>
      </c>
      <c r="G22">
        <v>34200.0</v>
      </c>
      <c r="H22">
        <v>30000.0</v>
      </c>
      <c r="I22">
        <f>F22-H22</f>
        <v>420000.0</v>
      </c>
      <c r="J22">
        <f>D22-E22-G22-H22</f>
        <v>115800.0</v>
      </c>
    </row>
    <row r="23" spans="8:8">
      <c r="A23" s="9" t="s">
        <v>108</v>
      </c>
      <c r="B23" s="10">
        <v>7.51590239E8</v>
      </c>
      <c r="C23" s="11" t="s">
        <v>60</v>
      </c>
      <c r="D23" s="4">
        <v>200000.0</v>
      </c>
      <c r="E23">
        <v>100000.0</v>
      </c>
      <c r="F23">
        <v>650000.0</v>
      </c>
      <c r="G23">
        <v>40000.0</v>
      </c>
      <c r="H23">
        <v>0.0</v>
      </c>
      <c r="I23">
        <f>F23-H23</f>
        <v>650000.0</v>
      </c>
      <c r="J23">
        <f>D23-E23-G23-H23</f>
        <v>60000.0</v>
      </c>
    </row>
    <row r="24" spans="8:8" ht="16.95">
      <c r="A24" s="9" t="s">
        <v>156</v>
      </c>
      <c r="B24" s="10">
        <v>7.79895951E8</v>
      </c>
      <c r="C24" s="11" t="s">
        <v>157</v>
      </c>
      <c r="D24" s="4">
        <v>250000.0</v>
      </c>
      <c r="F24">
        <v>0.0</v>
      </c>
      <c r="G24">
        <v>0.0</v>
      </c>
      <c r="H24">
        <v>0.0</v>
      </c>
      <c r="I24">
        <f>F24-H24</f>
        <v>0.0</v>
      </c>
      <c r="J24">
        <f>D24-E24-G24-H24</f>
        <v>250000.0</v>
      </c>
    </row>
    <row r="25" spans="8:8" ht="16.25">
      <c r="A25" s="9" t="s">
        <v>145</v>
      </c>
      <c r="B25" s="10">
        <v>7.72407032E8</v>
      </c>
      <c r="C25" s="11" t="s">
        <v>146</v>
      </c>
      <c r="D25" s="4">
        <v>400000.0</v>
      </c>
      <c r="E25">
        <v>100000.0</v>
      </c>
      <c r="F25">
        <v>0.0</v>
      </c>
      <c r="G25">
        <v>0.0</v>
      </c>
      <c r="H25">
        <v>0.0</v>
      </c>
      <c r="I25">
        <f>F25-H25</f>
        <v>0.0</v>
      </c>
      <c r="J25">
        <f>D25-E25-G25-H25</f>
        <v>300000.0</v>
      </c>
    </row>
    <row r="26" spans="8:8">
      <c r="A26" t="s">
        <v>72</v>
      </c>
      <c r="B26">
        <v>7.72680544E8</v>
      </c>
      <c r="C26" t="s">
        <v>122</v>
      </c>
      <c r="D26">
        <v>0.0</v>
      </c>
      <c r="E26">
        <v>2000000.0</v>
      </c>
      <c r="F26">
        <v>0.0</v>
      </c>
      <c r="G26">
        <v>0.0</v>
      </c>
      <c r="H26">
        <v>0.0</v>
      </c>
      <c r="I26">
        <f>F26-H26</f>
        <v>0.0</v>
      </c>
      <c r="J26">
        <v>0.0</v>
      </c>
    </row>
    <row r="27" spans="8:8" ht="16.95">
      <c r="A27" t="s">
        <v>117</v>
      </c>
      <c r="B27">
        <v>7.56838488E8</v>
      </c>
      <c r="C27" t="s">
        <v>120</v>
      </c>
      <c r="D27">
        <v>230000.0</v>
      </c>
      <c r="E27">
        <v>50000.0</v>
      </c>
      <c r="F27">
        <v>230000.0</v>
      </c>
      <c r="G27">
        <v>20000.0</v>
      </c>
      <c r="H27">
        <v>30000.0</v>
      </c>
      <c r="I27">
        <f>F27-H27</f>
        <v>200000.0</v>
      </c>
      <c r="J27">
        <f>D27-E27-G27-H27</f>
        <v>130000.0</v>
      </c>
    </row>
    <row r="28" spans="8:8" ht="16.95">
      <c r="A28" t="s">
        <v>118</v>
      </c>
      <c r="B28">
        <v>7.05737084E8</v>
      </c>
      <c r="C28" t="s">
        <v>121</v>
      </c>
      <c r="D28">
        <v>230000.0</v>
      </c>
      <c r="E28">
        <v>50000.0</v>
      </c>
      <c r="F28">
        <v>300000.0</v>
      </c>
      <c r="G28">
        <v>25000.0</v>
      </c>
      <c r="H28">
        <v>0.0</v>
      </c>
      <c r="I28">
        <f>F28-H28</f>
        <v>300000.0</v>
      </c>
      <c r="J28">
        <f>D28-E28-G28-H28</f>
        <v>155000.0</v>
      </c>
    </row>
    <row r="29" spans="8:8">
      <c r="A29" t="s">
        <v>140</v>
      </c>
      <c r="B29">
        <v>7.79812645E8</v>
      </c>
      <c r="C29" t="s">
        <v>83</v>
      </c>
      <c r="D29">
        <v>0.0</v>
      </c>
      <c r="E29">
        <v>300000.0</v>
      </c>
      <c r="F29">
        <v>300000.0</v>
      </c>
      <c r="G29">
        <v>0.0</v>
      </c>
      <c r="H29">
        <v>0.0</v>
      </c>
      <c r="I29">
        <f>F29-H29</f>
        <v>300000.0</v>
      </c>
      <c r="J29">
        <v>0.0</v>
      </c>
    </row>
    <row r="30" spans="8:8" ht="16.25">
      <c r="A30" t="s">
        <v>124</v>
      </c>
      <c r="B30">
        <v>7.79705894E8</v>
      </c>
      <c r="D30">
        <v>1000000.0</v>
      </c>
      <c r="E30">
        <v>100000.0</v>
      </c>
      <c r="F30">
        <v>2470000.0</v>
      </c>
      <c r="G30">
        <v>0.0</v>
      </c>
      <c r="H30">
        <v>0.0</v>
      </c>
      <c r="I30">
        <f>F30-H30</f>
        <v>2470000.0</v>
      </c>
      <c r="J30">
        <f>D30-E30-G30-H30</f>
        <v>900000.0</v>
      </c>
    </row>
    <row r="31" spans="8:8">
      <c r="A31" s="1" t="s">
        <v>114</v>
      </c>
      <c r="D31" s="1">
        <f>SUM(D2:D30)</f>
        <v>6650000.0</v>
      </c>
      <c r="E31" s="1">
        <f>SUM(E2:E30)</f>
        <v>4080000.0</v>
      </c>
      <c r="F31" s="1">
        <f>SUM(F2:F30)</f>
        <v>1.39495E7</v>
      </c>
      <c r="G31" s="1">
        <f>SUM(G2:G30)</f>
        <v>693200.0</v>
      </c>
      <c r="H31" s="1">
        <f>SUM(H2:H30)</f>
        <v>950000.0</v>
      </c>
      <c r="I31" s="1">
        <f>SUM(I2:I30)</f>
        <v>1.29995E7</v>
      </c>
      <c r="J31" s="1">
        <f>SUM(J2:J30)</f>
        <v>3226800.0</v>
      </c>
    </row>
    <row r="34" spans="8:8">
      <c r="B34" t="s">
        <v>150</v>
      </c>
      <c r="C34">
        <f>D31-J31</f>
        <v>3423200.0</v>
      </c>
      <c r="E34"/>
      <c r="G34"/>
    </row>
    <row r="35" spans="8:8">
      <c r="B35" t="s">
        <v>164</v>
      </c>
      <c r="C35" s="29">
        <v>2000000.0</v>
      </c>
      <c r="G35"/>
    </row>
    <row r="36" spans="8:8">
      <c r="B36" t="s">
        <v>163</v>
      </c>
      <c r="C36" s="30">
        <v>300000.0</v>
      </c>
      <c r="J36"/>
    </row>
    <row r="37" spans="8:8">
      <c r="B37" s="1" t="s">
        <v>114</v>
      </c>
      <c r="C37" s="1">
        <f>SUM(C34:C36)</f>
        <v>5723200.0</v>
      </c>
    </row>
    <row r="38" spans="8:8">
      <c r="F38"/>
      <c r="J38"/>
    </row>
    <row r="41" spans="8:8" ht="16.95">
      <c r="F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SM-A075F</dc:creator>
  <dcterms:created xsi:type="dcterms:W3CDTF">2026-01-21T01:20:44Z</dcterms:created>
  <dcterms:modified xsi:type="dcterms:W3CDTF">2026-07-31T17:20:24Z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f5be1995493549d6ae916a6f0eeb7dee</vt:lpwstr>
  </property>
</Properties>
</file>